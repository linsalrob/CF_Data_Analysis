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inders.sharepoint.com/sites/CysticFibrosisResearch2/Shared Documents/General/Manuscripts/CF Metagenome Analysis/WorldWideCF/"/>
    </mc:Choice>
  </mc:AlternateContent>
  <xr:revisionPtr revIDLastSave="13" documentId="8_{261B5FF9-537D-455D-AEEE-283B8517A48D}" xr6:coauthVersionLast="47" xr6:coauthVersionMax="47" xr10:uidLastSave="{85B63CEA-1F40-4157-8227-6A35C2306920}"/>
  <bookViews>
    <workbookView xWindow="380" yWindow="380" windowWidth="19563" windowHeight="11480" xr2:uid="{29BB66D3-96E9-434E-B792-6CA9066574FC}"/>
  </bookViews>
  <sheets>
    <sheet name="WorldwideCF" sheetId="1" r:id="rId1"/>
    <sheet name="Incomplete data" sheetId="5" r:id="rId2"/>
    <sheet name="PRJNA644285" sheetId="4" r:id="rId3"/>
    <sheet name="PRJEB32062" sheetId="3" r:id="rId4"/>
    <sheet name="PRJNA1055940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5" l="1"/>
  <c r="K12" i="5"/>
  <c r="M12" i="5" s="1"/>
  <c r="L11" i="5"/>
  <c r="K11" i="5"/>
  <c r="M11" i="5" s="1"/>
  <c r="L10" i="5"/>
  <c r="K10" i="5"/>
  <c r="M10" i="5" s="1"/>
  <c r="L9" i="5"/>
  <c r="K9" i="5"/>
  <c r="L8" i="5"/>
  <c r="K8" i="5"/>
  <c r="M8" i="5" s="1"/>
  <c r="L7" i="5"/>
  <c r="K7" i="5"/>
  <c r="M7" i="5" s="1"/>
  <c r="L6" i="5"/>
  <c r="M6" i="5" s="1"/>
  <c r="K6" i="5"/>
  <c r="L5" i="5"/>
  <c r="K5" i="5"/>
  <c r="L4" i="5"/>
  <c r="K4" i="5"/>
  <c r="M4" i="5" s="1"/>
  <c r="L3" i="5"/>
  <c r="K3" i="5"/>
  <c r="M3" i="5" s="1"/>
  <c r="L2" i="5"/>
  <c r="M2" i="5" s="1"/>
  <c r="K2" i="5"/>
  <c r="K6" i="1"/>
  <c r="L6" i="1"/>
  <c r="K10" i="1"/>
  <c r="L10" i="1"/>
  <c r="M10" i="1" s="1"/>
  <c r="K7" i="1"/>
  <c r="L7" i="1"/>
  <c r="K9" i="1"/>
  <c r="L9" i="1"/>
  <c r="K2" i="1"/>
  <c r="L2" i="1"/>
  <c r="K5" i="1"/>
  <c r="L5" i="1"/>
  <c r="K3" i="1"/>
  <c r="L3" i="1"/>
  <c r="K11" i="1"/>
  <c r="L11" i="1"/>
  <c r="K12" i="1"/>
  <c r="L12" i="1"/>
  <c r="K4" i="1"/>
  <c r="L4" i="1"/>
  <c r="L8" i="1"/>
  <c r="K8" i="1"/>
  <c r="M6" i="1" l="1"/>
  <c r="M4" i="1"/>
  <c r="M9" i="5"/>
  <c r="M5" i="5"/>
  <c r="M8" i="1"/>
  <c r="M11" i="1"/>
  <c r="M12" i="1"/>
  <c r="M3" i="1"/>
  <c r="M5" i="1"/>
  <c r="M2" i="1"/>
  <c r="M9" i="1"/>
  <c r="M7" i="1"/>
</calcChain>
</file>

<file path=xl/sharedStrings.xml><?xml version="1.0" encoding="utf-8"?>
<sst xmlns="http://schemas.openxmlformats.org/spreadsheetml/2006/main" count="908" uniqueCount="257">
  <si>
    <t>Bioproject</t>
  </si>
  <si>
    <t>Number of Runs</t>
  </si>
  <si>
    <t>Number of bp</t>
  </si>
  <si>
    <t>Runs analysed</t>
  </si>
  <si>
    <t>Runs Correctly Predicted</t>
  </si>
  <si>
    <t>PRJNA316588</t>
  </si>
  <si>
    <t>PRJNA1081394</t>
  </si>
  <si>
    <t>PRJNA516442</t>
  </si>
  <si>
    <t>PRJEB20836</t>
  </si>
  <si>
    <t>PRJNA1126024</t>
  </si>
  <si>
    <t>PRJNA510441</t>
  </si>
  <si>
    <t>PRJEB14440</t>
  </si>
  <si>
    <t>PRJNA1055940</t>
  </si>
  <si>
    <t>PRJEB32062</t>
  </si>
  <si>
    <t>PRJNA644285</t>
  </si>
  <si>
    <t>PRJNA931830</t>
  </si>
  <si>
    <t>PRJNA1101448</t>
  </si>
  <si>
    <t>PRJEB51171</t>
  </si>
  <si>
    <t>PRJNA71831</t>
  </si>
  <si>
    <t>PRJEB54014</t>
  </si>
  <si>
    <t>PRJNA615628</t>
  </si>
  <si>
    <t>PRJNA825831</t>
  </si>
  <si>
    <t>PRJNA846291</t>
  </si>
  <si>
    <t>PRJNA839435</t>
  </si>
  <si>
    <t>PRJNA516870</t>
  </si>
  <si>
    <t>PRJNA1091195</t>
  </si>
  <si>
    <t>PRJNA316056</t>
  </si>
  <si>
    <t>Number of positive runs</t>
  </si>
  <si>
    <t>Insufficient data</t>
  </si>
  <si>
    <t>Success</t>
  </si>
  <si>
    <t>Positive runs</t>
  </si>
  <si>
    <t>Negattive runs</t>
  </si>
  <si>
    <t>Total runs</t>
  </si>
  <si>
    <t>Original ID</t>
  </si>
  <si>
    <t>Type</t>
  </si>
  <si>
    <t>Sample</t>
  </si>
  <si>
    <t>Number of Pseudomonas reads reported in SOM</t>
  </si>
  <si>
    <t>Cultured</t>
  </si>
  <si>
    <t>Pseudomonas Prediction</t>
  </si>
  <si>
    <t>Confidence</t>
  </si>
  <si>
    <t>Certainty</t>
  </si>
  <si>
    <t>Result</t>
  </si>
  <si>
    <t>Reason</t>
  </si>
  <si>
    <t xml:space="preserve">be 01 </t>
  </si>
  <si>
    <t xml:space="preserve">  is</t>
  </si>
  <si>
    <t xml:space="preserve">SRR27326975 </t>
  </si>
  <si>
    <t xml:space="preserve">  </t>
  </si>
  <si>
    <t xml:space="preserve"> - </t>
  </si>
  <si>
    <t xml:space="preserve"> + </t>
  </si>
  <si>
    <r>
      <t xml:space="preserve"> </t>
    </r>
    <r>
      <rPr>
        <sz val="10"/>
        <color theme="1"/>
        <rFont val="Segoe UI Symbol"/>
        <family val="2"/>
      </rPr>
      <t>✓</t>
    </r>
    <r>
      <rPr>
        <sz val="10"/>
        <color theme="1"/>
        <rFont val="Calibri"/>
        <family val="2"/>
      </rPr>
      <t xml:space="preserve"> </t>
    </r>
  </si>
  <si>
    <t xml:space="preserve"> </t>
  </si>
  <si>
    <t xml:space="preserve">nps </t>
  </si>
  <si>
    <t xml:space="preserve">SRR27326950 </t>
  </si>
  <si>
    <t xml:space="preserve"> ++ </t>
  </si>
  <si>
    <t xml:space="preserve">be 02 </t>
  </si>
  <si>
    <t xml:space="preserve">SRR27326974 </t>
  </si>
  <si>
    <t xml:space="preserve"> +++ </t>
  </si>
  <si>
    <t xml:space="preserve">be 03 </t>
  </si>
  <si>
    <t xml:space="preserve">SRR27326963 </t>
  </si>
  <si>
    <t xml:space="preserve">Pa </t>
  </si>
  <si>
    <t xml:space="preserve">SRR27326949 </t>
  </si>
  <si>
    <t xml:space="preserve">be 04 </t>
  </si>
  <si>
    <t xml:space="preserve">SRR27326952 </t>
  </si>
  <si>
    <t xml:space="preserve">SRR27326948 </t>
  </si>
  <si>
    <t xml:space="preserve">be 05 </t>
  </si>
  <si>
    <t xml:space="preserve">SRR27326932 </t>
  </si>
  <si>
    <t>Pa, Sa</t>
  </si>
  <si>
    <r>
      <t xml:space="preserve"> </t>
    </r>
    <r>
      <rPr>
        <sz val="10"/>
        <color theme="1"/>
        <rFont val="Segoe UI Symbol"/>
        <family val="2"/>
      </rPr>
      <t>✘</t>
    </r>
    <r>
      <rPr>
        <sz val="10"/>
        <color theme="1"/>
        <rFont val="Calibri"/>
        <family val="2"/>
      </rPr>
      <t xml:space="preserve"> </t>
    </r>
  </si>
  <si>
    <t xml:space="preserve"> Low read abundance</t>
  </si>
  <si>
    <t xml:space="preserve">SRR27326938 </t>
  </si>
  <si>
    <t xml:space="preserve">be 06 </t>
  </si>
  <si>
    <t xml:space="preserve">SRR27326921 </t>
  </si>
  <si>
    <t xml:space="preserve">SRR27326937 </t>
  </si>
  <si>
    <t xml:space="preserve">be 07 </t>
  </si>
  <si>
    <t xml:space="preserve">SRR27326943 </t>
  </si>
  <si>
    <t>Pa, Ac</t>
  </si>
  <si>
    <t xml:space="preserve"> Marginal</t>
  </si>
  <si>
    <t xml:space="preserve">SRR27326936 </t>
  </si>
  <si>
    <t xml:space="preserve">Pa, Ac </t>
  </si>
  <si>
    <t xml:space="preserve">be 08 </t>
  </si>
  <si>
    <t xml:space="preserve">SRR27326941 </t>
  </si>
  <si>
    <t xml:space="preserve">SRR27326935 </t>
  </si>
  <si>
    <t xml:space="preserve">be 09 </t>
  </si>
  <si>
    <t xml:space="preserve">SRR27326940 </t>
  </si>
  <si>
    <t xml:space="preserve">SRR27326934 </t>
  </si>
  <si>
    <t xml:space="preserve">be 10 </t>
  </si>
  <si>
    <t xml:space="preserve">SRR27326933 </t>
  </si>
  <si>
    <t xml:space="preserve"> Hig </t>
  </si>
  <si>
    <t xml:space="preserve">cf 01 </t>
  </si>
  <si>
    <t xml:space="preserve">SRR27326939 </t>
  </si>
  <si>
    <t xml:space="preserve">cf 02 </t>
  </si>
  <si>
    <t xml:space="preserve">SRR27326973 </t>
  </si>
  <si>
    <t xml:space="preserve">SRR27326930 </t>
  </si>
  <si>
    <t xml:space="preserve">cf 03 </t>
  </si>
  <si>
    <t xml:space="preserve">SRR27326972 </t>
  </si>
  <si>
    <t xml:space="preserve">cf 04 </t>
  </si>
  <si>
    <t xml:space="preserve">SRR27326971 </t>
  </si>
  <si>
    <t xml:space="preserve">SRR27326928 </t>
  </si>
  <si>
    <t xml:space="preserve">cf 05 </t>
  </si>
  <si>
    <t xml:space="preserve">SRR27326970 </t>
  </si>
  <si>
    <t xml:space="preserve">SRR27326927 </t>
  </si>
  <si>
    <t xml:space="preserve">cf 06 </t>
  </si>
  <si>
    <t xml:space="preserve">SRR27326969 </t>
  </si>
  <si>
    <t>Pa, Sa, Bc</t>
  </si>
  <si>
    <t xml:space="preserve">SRR27326926 </t>
  </si>
  <si>
    <t xml:space="preserve">cf 07 </t>
  </si>
  <si>
    <t xml:space="preserve">SRR27326968 </t>
  </si>
  <si>
    <t xml:space="preserve"> Sa</t>
  </si>
  <si>
    <t xml:space="preserve">SRR27326925 </t>
  </si>
  <si>
    <t xml:space="preserve">cf 08 </t>
  </si>
  <si>
    <t xml:space="preserve">SRR27326967 </t>
  </si>
  <si>
    <t>Pa, Bc</t>
  </si>
  <si>
    <t xml:space="preserve">SRR27326924 </t>
  </si>
  <si>
    <t xml:space="preserve">cf 09 </t>
  </si>
  <si>
    <t xml:space="preserve">SRR27326966 </t>
  </si>
  <si>
    <t xml:space="preserve"> Bc</t>
  </si>
  <si>
    <t xml:space="preserve">SRR27326923 </t>
  </si>
  <si>
    <t xml:space="preserve">cf 10 </t>
  </si>
  <si>
    <t xml:space="preserve">SRR27326965 </t>
  </si>
  <si>
    <t xml:space="preserve">SRR27326922 </t>
  </si>
  <si>
    <t xml:space="preserve">cf 11 </t>
  </si>
  <si>
    <t xml:space="preserve">SRR27326953 </t>
  </si>
  <si>
    <t xml:space="preserve">SRR27326942 </t>
  </si>
  <si>
    <t xml:space="preserve">cf 12 </t>
  </si>
  <si>
    <t xml:space="preserve">SRR27326931 </t>
  </si>
  <si>
    <t>Hi</t>
  </si>
  <si>
    <t xml:space="preserve">cf 13 </t>
  </si>
  <si>
    <t xml:space="preserve">SRR27326929 </t>
  </si>
  <si>
    <t xml:space="preserve">ht 01 </t>
  </si>
  <si>
    <t xml:space="preserve">SRR27326964 </t>
  </si>
  <si>
    <t xml:space="preserve">SRR27326920 </t>
  </si>
  <si>
    <t xml:space="preserve">ht 02 </t>
  </si>
  <si>
    <t xml:space="preserve">SRR27326962 </t>
  </si>
  <si>
    <t xml:space="preserve">SRR27326919 </t>
  </si>
  <si>
    <t xml:space="preserve">ht 03 </t>
  </si>
  <si>
    <t xml:space="preserve">SRR27326961 </t>
  </si>
  <si>
    <t xml:space="preserve">ht 04 </t>
  </si>
  <si>
    <t xml:space="preserve">SRR27326960 </t>
  </si>
  <si>
    <t xml:space="preserve">SRR27326917 </t>
  </si>
  <si>
    <t xml:space="preserve">ht 05 </t>
  </si>
  <si>
    <t xml:space="preserve">SRR27326959 </t>
  </si>
  <si>
    <t xml:space="preserve">SRR27326916 </t>
  </si>
  <si>
    <t xml:space="preserve">ht 06 </t>
  </si>
  <si>
    <t xml:space="preserve">SRR27326958 </t>
  </si>
  <si>
    <t xml:space="preserve">SRR27326915 </t>
  </si>
  <si>
    <t xml:space="preserve">ht 07 </t>
  </si>
  <si>
    <t xml:space="preserve">SRR27326957 </t>
  </si>
  <si>
    <t xml:space="preserve">SRR27326947 </t>
  </si>
  <si>
    <t xml:space="preserve">ht 08 </t>
  </si>
  <si>
    <t xml:space="preserve">SRR27326956 </t>
  </si>
  <si>
    <t xml:space="preserve">SRR27326946 </t>
  </si>
  <si>
    <t xml:space="preserve">ht 09 </t>
  </si>
  <si>
    <t xml:space="preserve">SRR27326955 </t>
  </si>
  <si>
    <t xml:space="preserve">SRR27326945 </t>
  </si>
  <si>
    <t xml:space="preserve">ht 10 </t>
  </si>
  <si>
    <t xml:space="preserve">SRR27326954 </t>
  </si>
  <si>
    <t xml:space="preserve">SRR27326944 </t>
  </si>
  <si>
    <t xml:space="preserve">ht 11 </t>
  </si>
  <si>
    <t xml:space="preserve">SRR27326951 </t>
  </si>
  <si>
    <t xml:space="preserve">ht 12 </t>
  </si>
  <si>
    <t xml:space="preserve">SRR27326918 </t>
  </si>
  <si>
    <t>Outcome</t>
  </si>
  <si>
    <t>TN</t>
  </si>
  <si>
    <t>TP</t>
  </si>
  <si>
    <t>FN</t>
  </si>
  <si>
    <t>TP (Positive samples correctly predicted)</t>
  </si>
  <si>
    <t>FN (Positive samples incorrectly predicted)</t>
  </si>
  <si>
    <t>TN (Negative samples correctly predicted)</t>
  </si>
  <si>
    <t>FP (Negative samples incorrectly predicted)</t>
  </si>
  <si>
    <t>pwCF ID</t>
  </si>
  <si>
    <t>Correct Prediction</t>
  </si>
  <si>
    <t xml:space="preserve">ERR3274613 </t>
  </si>
  <si>
    <t xml:space="preserve"> CFR06</t>
  </si>
  <si>
    <t>✓</t>
  </si>
  <si>
    <t xml:space="preserve">ERR3274614 </t>
  </si>
  <si>
    <t xml:space="preserve">ERR3274615 </t>
  </si>
  <si>
    <t xml:space="preserve">ERR3274616 </t>
  </si>
  <si>
    <t xml:space="preserve">ERR3274617 </t>
  </si>
  <si>
    <t xml:space="preserve">ERR3274618 </t>
  </si>
  <si>
    <t xml:space="preserve">ERR3274619 </t>
  </si>
  <si>
    <t xml:space="preserve">ERR3274620 </t>
  </si>
  <si>
    <t xml:space="preserve">ERR3274621 </t>
  </si>
  <si>
    <t xml:space="preserve"> CFR07</t>
  </si>
  <si>
    <t xml:space="preserve">ERR3274622 </t>
  </si>
  <si>
    <t xml:space="preserve">ERR3274623 </t>
  </si>
  <si>
    <t xml:space="preserve">ERR3274624 </t>
  </si>
  <si>
    <t xml:space="preserve"> CFR09</t>
  </si>
  <si>
    <t xml:space="preserve">ERR3274625 </t>
  </si>
  <si>
    <t xml:space="preserve">ERR3274626 </t>
  </si>
  <si>
    <t xml:space="preserve">ERR3274627 </t>
  </si>
  <si>
    <t xml:space="preserve">ERR3274628 </t>
  </si>
  <si>
    <t xml:space="preserve"> CFR11</t>
  </si>
  <si>
    <t xml:space="preserve">ERR3274629 </t>
  </si>
  <si>
    <t xml:space="preserve">ERR3274630 </t>
  </si>
  <si>
    <t xml:space="preserve">ERR3274631 </t>
  </si>
  <si>
    <t xml:space="preserve">ERR3274632 </t>
  </si>
  <si>
    <t xml:space="preserve">ERR3274633 </t>
  </si>
  <si>
    <r>
      <t xml:space="preserve"> </t>
    </r>
    <r>
      <rPr>
        <sz val="11"/>
        <color theme="1"/>
        <rFont val="Segoe UI Symbol"/>
        <family val="2"/>
      </rPr>
      <t>✘</t>
    </r>
    <r>
      <rPr>
        <sz val="11"/>
        <color theme="1"/>
        <rFont val="Calibri"/>
        <family val="2"/>
      </rPr>
      <t xml:space="preserve"> </t>
    </r>
  </si>
  <si>
    <t xml:space="preserve">ERR3274634 </t>
  </si>
  <si>
    <t xml:space="preserve">ERR3274635 </t>
  </si>
  <si>
    <t xml:space="preserve">ERR3274636 </t>
  </si>
  <si>
    <t xml:space="preserve">ERR3274637 </t>
  </si>
  <si>
    <t>pwCF</t>
  </si>
  <si>
    <t>Clinical condition</t>
  </si>
  <si>
    <t>Fev-01</t>
  </si>
  <si>
    <t>Culture</t>
  </si>
  <si>
    <t>Antibiotic Therapy</t>
  </si>
  <si>
    <t>SRR12149839</t>
  </si>
  <si>
    <t>PA1</t>
  </si>
  <si>
    <t xml:space="preserve"> Ex</t>
  </si>
  <si>
    <t>Af, Sa, Pa, Bcc</t>
  </si>
  <si>
    <t>C, T, A</t>
  </si>
  <si>
    <t>-</t>
  </si>
  <si>
    <t>++</t>
  </si>
  <si>
    <t>✘</t>
  </si>
  <si>
    <t>SRR12149836</t>
  </si>
  <si>
    <t>PA2</t>
  </si>
  <si>
    <t xml:space="preserve"> NI</t>
  </si>
  <si>
    <t>SRR12149835</t>
  </si>
  <si>
    <t>PA3</t>
  </si>
  <si>
    <t xml:space="preserve"> Am</t>
  </si>
  <si>
    <t>Af, Bcc</t>
  </si>
  <si>
    <t>SRR12149830</t>
  </si>
  <si>
    <t>PA4</t>
  </si>
  <si>
    <t>Af, Pe</t>
  </si>
  <si>
    <t>M, V, G</t>
  </si>
  <si>
    <t>SRR12149837</t>
  </si>
  <si>
    <t>PA5</t>
  </si>
  <si>
    <t>Af, Td</t>
  </si>
  <si>
    <t>SRR12149834</t>
  </si>
  <si>
    <t>PB1</t>
  </si>
  <si>
    <t>Z, G</t>
  </si>
  <si>
    <t>SRR12149829</t>
  </si>
  <si>
    <t>PB2</t>
  </si>
  <si>
    <t>Ta, Td, Ha, Bcc</t>
  </si>
  <si>
    <t>SRR12149838</t>
  </si>
  <si>
    <t>PB3</t>
  </si>
  <si>
    <t>Ta</t>
  </si>
  <si>
    <t>+</t>
  </si>
  <si>
    <t>SRR12149840</t>
  </si>
  <si>
    <t>PC1</t>
  </si>
  <si>
    <t>Af, Ca, Ac</t>
  </si>
  <si>
    <t>I</t>
  </si>
  <si>
    <t>SRR12149833</t>
  </si>
  <si>
    <t>PC2</t>
  </si>
  <si>
    <t>Af, Pa, St</t>
  </si>
  <si>
    <t>M, G</t>
  </si>
  <si>
    <t>SRR12149832</t>
  </si>
  <si>
    <t>PC3</t>
  </si>
  <si>
    <t>Ex</t>
  </si>
  <si>
    <t>Af, Ac, Ch</t>
  </si>
  <si>
    <t>SRR12149831</t>
  </si>
  <si>
    <t>PC4</t>
  </si>
  <si>
    <t>Am</t>
  </si>
  <si>
    <t>Af, Pa, Sa</t>
  </si>
  <si>
    <t>Negative runs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</si>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</sst>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theme="1"/>
      <name val="Segoe UI Symbol"/>
      <family val="2"/>
    </font>
    <font>
      <b/>
      <sz val="11"/>
      <color rgb="FFFFFFFF"/>
      <name val="Calibri"/>
      <family val="2"/>
    </font>
    <font>
      <sz val="11"/>
      <color theme="1"/>
      <name val="Segoe UI Symbo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64" fontId="0" fillId="0" borderId="0" xfId="1" applyNumberFormat="1" applyFont="1"/>
    <xf numFmtId="0" fontId="16" fillId="0" borderId="0" xfId="0" applyFont="1" applyAlignment="1">
      <alignment wrapText="1"/>
    </xf>
    <xf numFmtId="164" fontId="16" fillId="0" borderId="0" xfId="1" applyNumberFormat="1" applyFont="1" applyAlignment="1">
      <alignment wrapText="1"/>
    </xf>
    <xf numFmtId="0" fontId="19" fillId="33" borderId="10" xfId="0" applyFont="1" applyFill="1" applyBorder="1" applyAlignment="1">
      <alignment horizontal="center" vertical="center" textRotation="90" wrapText="1"/>
    </xf>
    <xf numFmtId="0" fontId="19" fillId="33" borderId="11" xfId="0" applyFont="1" applyFill="1" applyBorder="1" applyAlignment="1">
      <alignment horizontal="center" vertical="center" textRotation="90" wrapText="1"/>
    </xf>
    <xf numFmtId="0" fontId="20" fillId="0" borderId="12" xfId="0" applyFont="1" applyBorder="1" applyAlignment="1">
      <alignment vertical="center" wrapText="1"/>
    </xf>
    <xf numFmtId="0" fontId="20" fillId="0" borderId="13" xfId="0" applyFont="1" applyBorder="1" applyAlignment="1">
      <alignment vertical="center" wrapText="1"/>
    </xf>
    <xf numFmtId="3" fontId="20" fillId="0" borderId="13" xfId="0" applyNumberFormat="1" applyFont="1" applyBorder="1" applyAlignment="1">
      <alignment vertical="center" wrapText="1"/>
    </xf>
    <xf numFmtId="0" fontId="19" fillId="33" borderId="0" xfId="0" applyFont="1" applyFill="1" applyAlignment="1">
      <alignment horizontal="center" vertical="center" textRotation="90" wrapText="1"/>
    </xf>
    <xf numFmtId="0" fontId="20" fillId="0" borderId="0" xfId="0" applyFont="1" applyAlignment="1">
      <alignment vertical="center" wrapText="1"/>
    </xf>
    <xf numFmtId="0" fontId="22" fillId="33" borderId="10" xfId="0" applyFont="1" applyFill="1" applyBorder="1" applyAlignment="1">
      <alignment horizontal="center" vertical="center" textRotation="90" wrapText="1"/>
    </xf>
    <xf numFmtId="0" fontId="22" fillId="33" borderId="11" xfId="0" applyFont="1" applyFill="1" applyBorder="1" applyAlignment="1">
      <alignment horizontal="center" vertical="center" textRotation="90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9" fontId="20" fillId="0" borderId="13" xfId="0" applyNumberFormat="1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FD13-76C0-454E-B3E3-6E7B4570BF91}">
  <dimension ref="A1:N12"/>
  <sheetViews>
    <sheetView tabSelected="1" topLeftCell="E1" workbookViewId="0">
      <selection activeCell="J18" sqref="J18"/>
    </sheetView>
  </sheetViews>
  <sheetFormatPr defaultRowHeight="14.3" x14ac:dyDescent="0.25"/>
  <cols>
    <col min="1" max="1" width="13.125" bestFit="1" customWidth="1"/>
    <col min="2" max="2" width="13.75" bestFit="1" customWidth="1"/>
    <col min="3" max="3" width="17.375" style="1" bestFit="1" customWidth="1"/>
    <col min="4" max="4" width="12.5" bestFit="1" customWidth="1"/>
    <col min="5" max="5" width="14.375" customWidth="1"/>
    <col min="6" max="12" width="18.625" customWidth="1"/>
    <col min="14" max="14" width="14" bestFit="1" customWidth="1"/>
  </cols>
  <sheetData>
    <row r="1" spans="1:14" s="2" customFormat="1" ht="28.55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27</v>
      </c>
      <c r="G1" s="2" t="s">
        <v>163</v>
      </c>
      <c r="H1" s="2" t="s">
        <v>164</v>
      </c>
      <c r="I1" s="2" t="s">
        <v>162</v>
      </c>
      <c r="J1" s="2" t="s">
        <v>256</v>
      </c>
      <c r="K1" s="2" t="s">
        <v>30</v>
      </c>
      <c r="L1" s="2" t="s">
        <v>255</v>
      </c>
      <c r="M1" s="2" t="s">
        <v>32</v>
      </c>
      <c r="N1" s="2" t="s">
        <v>161</v>
      </c>
    </row>
    <row r="2" spans="1:14" x14ac:dyDescent="0.25">
      <c r="A2" t="s">
        <v>11</v>
      </c>
      <c r="B2">
        <v>5</v>
      </c>
      <c r="C2" s="1">
        <v>1330576074</v>
      </c>
      <c r="D2">
        <v>5</v>
      </c>
      <c r="E2">
        <v>5</v>
      </c>
      <c r="F2">
        <v>5</v>
      </c>
      <c r="G2">
        <v>5</v>
      </c>
      <c r="H2">
        <v>0</v>
      </c>
      <c r="I2">
        <v>0</v>
      </c>
      <c r="J2">
        <v>0</v>
      </c>
      <c r="K2">
        <f t="shared" ref="K2:K12" si="0">G2+H2</f>
        <v>5</v>
      </c>
      <c r="L2">
        <f t="shared" ref="L2:L12" si="1">I2+J2</f>
        <v>0</v>
      </c>
      <c r="M2">
        <f t="shared" ref="M2:M12" si="2">K2+L2</f>
        <v>5</v>
      </c>
      <c r="N2" t="s">
        <v>29</v>
      </c>
    </row>
    <row r="3" spans="1:14" x14ac:dyDescent="0.25">
      <c r="A3" t="s">
        <v>13</v>
      </c>
      <c r="B3">
        <v>27</v>
      </c>
      <c r="C3" s="1">
        <v>113773728053</v>
      </c>
      <c r="D3">
        <v>25</v>
      </c>
      <c r="E3">
        <v>24</v>
      </c>
      <c r="F3">
        <v>6</v>
      </c>
      <c r="G3">
        <v>16</v>
      </c>
      <c r="H3">
        <v>1</v>
      </c>
      <c r="I3">
        <v>8</v>
      </c>
      <c r="J3">
        <v>0</v>
      </c>
      <c r="K3">
        <f t="shared" si="0"/>
        <v>17</v>
      </c>
      <c r="L3">
        <f t="shared" si="1"/>
        <v>8</v>
      </c>
      <c r="M3">
        <f t="shared" si="2"/>
        <v>25</v>
      </c>
      <c r="N3" t="s">
        <v>29</v>
      </c>
    </row>
    <row r="4" spans="1:14" x14ac:dyDescent="0.25">
      <c r="A4" t="s">
        <v>17</v>
      </c>
      <c r="B4">
        <v>64</v>
      </c>
      <c r="C4" s="1">
        <v>29874922519</v>
      </c>
      <c r="D4">
        <v>9</v>
      </c>
      <c r="E4">
        <v>8</v>
      </c>
      <c r="F4">
        <v>9</v>
      </c>
      <c r="G4">
        <v>3</v>
      </c>
      <c r="H4">
        <v>1</v>
      </c>
      <c r="I4">
        <v>5</v>
      </c>
      <c r="J4">
        <v>0</v>
      </c>
      <c r="K4">
        <f t="shared" si="0"/>
        <v>4</v>
      </c>
      <c r="L4">
        <f t="shared" si="1"/>
        <v>5</v>
      </c>
      <c r="M4">
        <f t="shared" si="2"/>
        <v>9</v>
      </c>
      <c r="N4" t="s">
        <v>29</v>
      </c>
    </row>
    <row r="5" spans="1:14" x14ac:dyDescent="0.25">
      <c r="A5" t="s">
        <v>12</v>
      </c>
      <c r="B5">
        <v>61</v>
      </c>
      <c r="C5" s="1">
        <v>386942064540</v>
      </c>
      <c r="D5">
        <v>61</v>
      </c>
      <c r="E5">
        <v>45</v>
      </c>
      <c r="F5">
        <v>25</v>
      </c>
      <c r="G5">
        <v>9</v>
      </c>
      <c r="H5">
        <v>16</v>
      </c>
      <c r="I5">
        <v>36</v>
      </c>
      <c r="J5">
        <v>0</v>
      </c>
      <c r="K5">
        <f t="shared" si="0"/>
        <v>25</v>
      </c>
      <c r="L5">
        <f t="shared" si="1"/>
        <v>36</v>
      </c>
      <c r="M5">
        <f t="shared" si="2"/>
        <v>61</v>
      </c>
      <c r="N5" t="s">
        <v>29</v>
      </c>
    </row>
    <row r="6" spans="1:14" x14ac:dyDescent="0.25">
      <c r="A6" t="s">
        <v>6</v>
      </c>
      <c r="B6">
        <v>549</v>
      </c>
      <c r="C6" s="1">
        <v>510156291748</v>
      </c>
      <c r="D6">
        <v>330</v>
      </c>
      <c r="E6">
        <v>311</v>
      </c>
      <c r="F6">
        <v>329</v>
      </c>
      <c r="G6">
        <v>310</v>
      </c>
      <c r="H6">
        <v>19</v>
      </c>
      <c r="I6">
        <v>1</v>
      </c>
      <c r="J6">
        <v>0</v>
      </c>
      <c r="K6">
        <f t="shared" si="0"/>
        <v>329</v>
      </c>
      <c r="L6">
        <f t="shared" si="1"/>
        <v>1</v>
      </c>
      <c r="M6">
        <f t="shared" si="2"/>
        <v>330</v>
      </c>
      <c r="N6" t="s">
        <v>29</v>
      </c>
    </row>
    <row r="7" spans="1:14" x14ac:dyDescent="0.25">
      <c r="A7" t="s">
        <v>9</v>
      </c>
      <c r="B7">
        <v>2</v>
      </c>
      <c r="C7" s="1">
        <v>1071033642</v>
      </c>
      <c r="D7">
        <v>2</v>
      </c>
      <c r="E7">
        <v>2</v>
      </c>
      <c r="F7">
        <v>1</v>
      </c>
      <c r="G7">
        <v>1</v>
      </c>
      <c r="H7">
        <v>0</v>
      </c>
      <c r="I7">
        <v>1</v>
      </c>
      <c r="J7">
        <v>0</v>
      </c>
      <c r="K7">
        <f t="shared" si="0"/>
        <v>1</v>
      </c>
      <c r="L7">
        <f t="shared" si="1"/>
        <v>1</v>
      </c>
      <c r="M7">
        <f t="shared" si="2"/>
        <v>2</v>
      </c>
      <c r="N7" t="s">
        <v>29</v>
      </c>
    </row>
    <row r="8" spans="1:14" x14ac:dyDescent="0.25">
      <c r="A8" t="s">
        <v>5</v>
      </c>
      <c r="B8">
        <v>18</v>
      </c>
      <c r="C8" s="1">
        <v>121257187412</v>
      </c>
      <c r="D8">
        <v>17</v>
      </c>
      <c r="E8">
        <v>17</v>
      </c>
      <c r="F8">
        <v>2</v>
      </c>
      <c r="G8">
        <v>2</v>
      </c>
      <c r="H8">
        <v>0</v>
      </c>
      <c r="I8">
        <v>15</v>
      </c>
      <c r="J8">
        <v>0</v>
      </c>
      <c r="K8">
        <f t="shared" si="0"/>
        <v>2</v>
      </c>
      <c r="L8">
        <f t="shared" si="1"/>
        <v>15</v>
      </c>
      <c r="M8">
        <f t="shared" si="2"/>
        <v>17</v>
      </c>
      <c r="N8" t="s">
        <v>29</v>
      </c>
    </row>
    <row r="9" spans="1:14" x14ac:dyDescent="0.25">
      <c r="A9" t="s">
        <v>10</v>
      </c>
      <c r="B9">
        <v>14</v>
      </c>
      <c r="C9" s="1">
        <v>906511907</v>
      </c>
      <c r="D9">
        <v>14</v>
      </c>
      <c r="E9">
        <v>5</v>
      </c>
      <c r="F9">
        <v>14</v>
      </c>
      <c r="G9">
        <v>5</v>
      </c>
      <c r="H9">
        <v>9</v>
      </c>
      <c r="I9">
        <v>0</v>
      </c>
      <c r="J9">
        <v>0</v>
      </c>
      <c r="K9">
        <f t="shared" si="0"/>
        <v>14</v>
      </c>
      <c r="L9">
        <f t="shared" si="1"/>
        <v>0</v>
      </c>
      <c r="M9">
        <f t="shared" si="2"/>
        <v>14</v>
      </c>
      <c r="N9" t="s">
        <v>29</v>
      </c>
    </row>
    <row r="10" spans="1:14" x14ac:dyDescent="0.25">
      <c r="A10" t="s">
        <v>7</v>
      </c>
      <c r="B10">
        <v>93</v>
      </c>
      <c r="C10" s="1">
        <v>34371719753</v>
      </c>
      <c r="D10">
        <v>15</v>
      </c>
      <c r="E10">
        <v>15</v>
      </c>
      <c r="F10">
        <v>8</v>
      </c>
      <c r="G10">
        <v>8</v>
      </c>
      <c r="H10">
        <v>0</v>
      </c>
      <c r="I10">
        <v>7</v>
      </c>
      <c r="J10">
        <v>0</v>
      </c>
      <c r="K10">
        <f t="shared" si="0"/>
        <v>8</v>
      </c>
      <c r="L10">
        <f t="shared" si="1"/>
        <v>7</v>
      </c>
      <c r="M10">
        <f t="shared" si="2"/>
        <v>15</v>
      </c>
      <c r="N10" t="s">
        <v>29</v>
      </c>
    </row>
    <row r="11" spans="1:14" x14ac:dyDescent="0.25">
      <c r="A11" t="s">
        <v>14</v>
      </c>
      <c r="B11">
        <v>12</v>
      </c>
      <c r="C11" s="1">
        <v>29679938510</v>
      </c>
      <c r="D11">
        <v>12</v>
      </c>
      <c r="E11">
        <v>11</v>
      </c>
      <c r="F11">
        <v>4</v>
      </c>
      <c r="G11">
        <v>3</v>
      </c>
      <c r="H11">
        <v>1</v>
      </c>
      <c r="I11">
        <v>8</v>
      </c>
      <c r="J11">
        <v>0</v>
      </c>
      <c r="K11">
        <f t="shared" si="0"/>
        <v>4</v>
      </c>
      <c r="L11">
        <f t="shared" si="1"/>
        <v>8</v>
      </c>
      <c r="M11">
        <f t="shared" si="2"/>
        <v>12</v>
      </c>
      <c r="N11" t="s">
        <v>29</v>
      </c>
    </row>
    <row r="12" spans="1:14" x14ac:dyDescent="0.25">
      <c r="A12" t="s">
        <v>15</v>
      </c>
      <c r="B12">
        <v>260</v>
      </c>
      <c r="C12" s="1">
        <v>740690138100</v>
      </c>
      <c r="D12">
        <v>260</v>
      </c>
      <c r="E12">
        <v>259</v>
      </c>
      <c r="F12">
        <v>11</v>
      </c>
      <c r="G12">
        <v>11</v>
      </c>
      <c r="H12">
        <v>0</v>
      </c>
      <c r="I12">
        <v>248</v>
      </c>
      <c r="J12">
        <v>1</v>
      </c>
      <c r="K12">
        <f t="shared" si="0"/>
        <v>11</v>
      </c>
      <c r="L12">
        <f t="shared" si="1"/>
        <v>249</v>
      </c>
      <c r="M12">
        <f t="shared" si="2"/>
        <v>260</v>
      </c>
      <c r="N12" t="s">
        <v>29</v>
      </c>
    </row>
  </sheetData>
  <sortState xmlns:xlrd2="http://schemas.microsoft.com/office/spreadsheetml/2017/richdata2" ref="A2:N12">
    <sortCondition descending="1" ref="N2:N12"/>
    <sortCondition ref="A2:A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EF7B2-2A6C-4290-BA23-6DED6D1C3744}">
  <dimension ref="A1:N12"/>
  <sheetViews>
    <sheetView workbookViewId="0">
      <selection activeCell="H15" sqref="H15"/>
    </sheetView>
  </sheetViews>
  <sheetFormatPr defaultColWidth="15.5" defaultRowHeight="14.3" x14ac:dyDescent="0.25"/>
  <sheetData>
    <row r="1" spans="1:14" ht="99.85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27</v>
      </c>
      <c r="G1" s="2" t="s">
        <v>165</v>
      </c>
      <c r="H1" s="2" t="s">
        <v>166</v>
      </c>
      <c r="I1" s="2" t="s">
        <v>167</v>
      </c>
      <c r="J1" s="2" t="s">
        <v>168</v>
      </c>
      <c r="K1" s="2" t="s">
        <v>30</v>
      </c>
      <c r="L1" s="2" t="s">
        <v>31</v>
      </c>
      <c r="M1" s="2" t="s">
        <v>32</v>
      </c>
      <c r="N1" s="2" t="s">
        <v>161</v>
      </c>
    </row>
    <row r="2" spans="1:14" x14ac:dyDescent="0.25">
      <c r="A2" t="s">
        <v>8</v>
      </c>
      <c r="B2">
        <v>1396</v>
      </c>
      <c r="C2" s="1">
        <v>1007979034098</v>
      </c>
      <c r="D2">
        <v>8</v>
      </c>
      <c r="E2">
        <v>8</v>
      </c>
      <c r="K2">
        <f t="shared" ref="K2:K12" si="0">G2+H2</f>
        <v>0</v>
      </c>
      <c r="L2">
        <f t="shared" ref="L2:L12" si="1">I2+J2</f>
        <v>0</v>
      </c>
      <c r="M2">
        <f t="shared" ref="M2:M12" si="2">K2+L2</f>
        <v>0</v>
      </c>
      <c r="N2" t="s">
        <v>28</v>
      </c>
    </row>
    <row r="3" spans="1:14" x14ac:dyDescent="0.25">
      <c r="A3" t="s">
        <v>19</v>
      </c>
      <c r="B3">
        <v>80</v>
      </c>
      <c r="C3" s="1">
        <v>447488092200</v>
      </c>
      <c r="K3">
        <f t="shared" si="0"/>
        <v>0</v>
      </c>
      <c r="L3">
        <f t="shared" si="1"/>
        <v>0</v>
      </c>
      <c r="M3">
        <f t="shared" si="2"/>
        <v>0</v>
      </c>
      <c r="N3" t="s">
        <v>28</v>
      </c>
    </row>
    <row r="4" spans="1:14" x14ac:dyDescent="0.25">
      <c r="A4" t="s">
        <v>25</v>
      </c>
      <c r="B4">
        <v>44</v>
      </c>
      <c r="C4" s="1">
        <v>146735286366</v>
      </c>
      <c r="D4">
        <v>22</v>
      </c>
      <c r="K4">
        <f t="shared" si="0"/>
        <v>0</v>
      </c>
      <c r="L4">
        <f t="shared" si="1"/>
        <v>0</v>
      </c>
      <c r="M4">
        <f t="shared" si="2"/>
        <v>0</v>
      </c>
      <c r="N4" t="s">
        <v>28</v>
      </c>
    </row>
    <row r="5" spans="1:14" x14ac:dyDescent="0.25">
      <c r="A5" t="s">
        <v>16</v>
      </c>
      <c r="B5">
        <v>323</v>
      </c>
      <c r="C5" s="1">
        <v>89493823284</v>
      </c>
      <c r="D5">
        <v>323</v>
      </c>
      <c r="E5">
        <v>321</v>
      </c>
      <c r="F5">
        <v>2</v>
      </c>
      <c r="K5">
        <f t="shared" si="0"/>
        <v>0</v>
      </c>
      <c r="L5">
        <f t="shared" si="1"/>
        <v>0</v>
      </c>
      <c r="M5">
        <f t="shared" si="2"/>
        <v>0</v>
      </c>
      <c r="N5" t="s">
        <v>28</v>
      </c>
    </row>
    <row r="6" spans="1:14" x14ac:dyDescent="0.25">
      <c r="A6" t="s">
        <v>26</v>
      </c>
      <c r="B6">
        <v>12</v>
      </c>
      <c r="C6" s="1">
        <v>36012000000</v>
      </c>
      <c r="D6">
        <v>12</v>
      </c>
      <c r="K6">
        <f t="shared" si="0"/>
        <v>0</v>
      </c>
      <c r="L6">
        <f t="shared" si="1"/>
        <v>0</v>
      </c>
      <c r="M6">
        <f t="shared" si="2"/>
        <v>0</v>
      </c>
      <c r="N6" t="s">
        <v>28</v>
      </c>
    </row>
    <row r="7" spans="1:14" x14ac:dyDescent="0.25">
      <c r="A7" t="s">
        <v>24</v>
      </c>
      <c r="B7">
        <v>79</v>
      </c>
      <c r="C7" s="1">
        <v>39170766613</v>
      </c>
      <c r="D7">
        <v>67</v>
      </c>
      <c r="K7">
        <f t="shared" si="0"/>
        <v>0</v>
      </c>
      <c r="L7">
        <f t="shared" si="1"/>
        <v>0</v>
      </c>
      <c r="M7">
        <f t="shared" si="2"/>
        <v>0</v>
      </c>
      <c r="N7" t="s">
        <v>28</v>
      </c>
    </row>
    <row r="8" spans="1:14" x14ac:dyDescent="0.25">
      <c r="A8" t="s">
        <v>20</v>
      </c>
      <c r="B8">
        <v>71</v>
      </c>
      <c r="C8" s="1">
        <v>95889827074</v>
      </c>
      <c r="D8">
        <v>71</v>
      </c>
      <c r="K8">
        <f t="shared" si="0"/>
        <v>0</v>
      </c>
      <c r="L8">
        <f t="shared" si="1"/>
        <v>0</v>
      </c>
      <c r="M8">
        <f t="shared" si="2"/>
        <v>0</v>
      </c>
      <c r="N8" t="s">
        <v>28</v>
      </c>
    </row>
    <row r="9" spans="1:14" x14ac:dyDescent="0.25">
      <c r="A9" t="s">
        <v>18</v>
      </c>
      <c r="B9">
        <v>38</v>
      </c>
      <c r="C9" s="1">
        <v>1179409307</v>
      </c>
      <c r="K9">
        <f t="shared" si="0"/>
        <v>0</v>
      </c>
      <c r="L9">
        <f t="shared" si="1"/>
        <v>0</v>
      </c>
      <c r="M9">
        <f t="shared" si="2"/>
        <v>0</v>
      </c>
      <c r="N9" t="s">
        <v>28</v>
      </c>
    </row>
    <row r="10" spans="1:14" x14ac:dyDescent="0.25">
      <c r="A10" t="s">
        <v>21</v>
      </c>
      <c r="B10">
        <v>117</v>
      </c>
      <c r="C10" s="1">
        <v>58764823681</v>
      </c>
      <c r="K10">
        <f t="shared" si="0"/>
        <v>0</v>
      </c>
      <c r="L10">
        <f t="shared" si="1"/>
        <v>0</v>
      </c>
      <c r="M10">
        <f t="shared" si="2"/>
        <v>0</v>
      </c>
      <c r="N10" t="s">
        <v>28</v>
      </c>
    </row>
    <row r="11" spans="1:14" x14ac:dyDescent="0.25">
      <c r="A11" t="s">
        <v>23</v>
      </c>
      <c r="B11">
        <v>12</v>
      </c>
      <c r="C11" s="1">
        <v>8336976960</v>
      </c>
      <c r="K11">
        <f t="shared" si="0"/>
        <v>0</v>
      </c>
      <c r="L11">
        <f t="shared" si="1"/>
        <v>0</v>
      </c>
      <c r="M11">
        <f t="shared" si="2"/>
        <v>0</v>
      </c>
      <c r="N11" t="s">
        <v>28</v>
      </c>
    </row>
    <row r="12" spans="1:14" x14ac:dyDescent="0.25">
      <c r="A12" t="s">
        <v>22</v>
      </c>
      <c r="B12">
        <v>98</v>
      </c>
      <c r="C12" s="1">
        <v>87154850753</v>
      </c>
      <c r="K12">
        <f t="shared" si="0"/>
        <v>0</v>
      </c>
      <c r="L12">
        <f t="shared" si="1"/>
        <v>0</v>
      </c>
      <c r="M12">
        <f t="shared" si="2"/>
        <v>0</v>
      </c>
      <c r="N1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AC26-9E9E-448F-9894-6180299F5331}">
  <dimension ref="A1:K13"/>
  <sheetViews>
    <sheetView workbookViewId="0">
      <selection activeCell="K2" sqref="K2:K13"/>
    </sheetView>
  </sheetViews>
  <sheetFormatPr defaultRowHeight="14.3" x14ac:dyDescent="0.25"/>
  <sheetData>
    <row r="1" spans="1:11" ht="122.3" customHeight="1" thickBot="1" x14ac:dyDescent="0.3">
      <c r="A1" s="4" t="s">
        <v>35</v>
      </c>
      <c r="B1" s="5" t="s">
        <v>202</v>
      </c>
      <c r="C1" s="5" t="s">
        <v>203</v>
      </c>
      <c r="D1" s="5" t="s">
        <v>204</v>
      </c>
      <c r="E1" s="5" t="s">
        <v>205</v>
      </c>
      <c r="F1" s="5" t="s">
        <v>206</v>
      </c>
      <c r="G1" s="5" t="s">
        <v>38</v>
      </c>
      <c r="H1" s="5" t="s">
        <v>39</v>
      </c>
      <c r="I1" s="5" t="s">
        <v>40</v>
      </c>
      <c r="J1" s="5" t="s">
        <v>170</v>
      </c>
      <c r="K1" s="9" t="s">
        <v>161</v>
      </c>
    </row>
    <row r="2" spans="1:11" ht="27.85" thickBot="1" x14ac:dyDescent="0.3">
      <c r="A2" s="6" t="s">
        <v>207</v>
      </c>
      <c r="B2" s="7" t="s">
        <v>208</v>
      </c>
      <c r="C2" s="7" t="s">
        <v>209</v>
      </c>
      <c r="D2" s="16">
        <v>0.39</v>
      </c>
      <c r="E2" s="7" t="s">
        <v>210</v>
      </c>
      <c r="F2" s="7" t="s">
        <v>211</v>
      </c>
      <c r="G2" s="7" t="s">
        <v>212</v>
      </c>
      <c r="H2" s="7">
        <v>0.65</v>
      </c>
      <c r="I2" s="7" t="s">
        <v>213</v>
      </c>
      <c r="J2" s="17" t="s">
        <v>214</v>
      </c>
      <c r="K2" s="7" t="s">
        <v>164</v>
      </c>
    </row>
    <row r="3" spans="1:11" ht="27.85" thickBot="1" x14ac:dyDescent="0.3">
      <c r="A3" s="6" t="s">
        <v>215</v>
      </c>
      <c r="B3" s="7" t="s">
        <v>216</v>
      </c>
      <c r="C3" s="7" t="s">
        <v>209</v>
      </c>
      <c r="D3" s="7" t="s">
        <v>50</v>
      </c>
      <c r="E3" s="7" t="s">
        <v>217</v>
      </c>
      <c r="F3" s="7" t="s">
        <v>50</v>
      </c>
      <c r="G3" s="7" t="s">
        <v>212</v>
      </c>
      <c r="H3" s="7">
        <v>0.72</v>
      </c>
      <c r="I3" s="7" t="s">
        <v>213</v>
      </c>
      <c r="J3" s="17" t="s">
        <v>173</v>
      </c>
      <c r="K3" s="7" t="s">
        <v>162</v>
      </c>
    </row>
    <row r="4" spans="1:11" ht="27.85" thickBot="1" x14ac:dyDescent="0.3">
      <c r="A4" s="6" t="s">
        <v>218</v>
      </c>
      <c r="B4" s="7" t="s">
        <v>219</v>
      </c>
      <c r="C4" s="7" t="s">
        <v>220</v>
      </c>
      <c r="D4" s="7" t="s">
        <v>50</v>
      </c>
      <c r="E4" s="7" t="s">
        <v>221</v>
      </c>
      <c r="F4" s="7" t="s">
        <v>50</v>
      </c>
      <c r="G4" s="7" t="s">
        <v>212</v>
      </c>
      <c r="H4" s="7">
        <v>0.67</v>
      </c>
      <c r="I4" s="7" t="s">
        <v>213</v>
      </c>
      <c r="J4" s="17" t="s">
        <v>173</v>
      </c>
      <c r="K4" s="7" t="s">
        <v>162</v>
      </c>
    </row>
    <row r="5" spans="1:11" ht="27.85" thickBot="1" x14ac:dyDescent="0.3">
      <c r="A5" s="6" t="s">
        <v>222</v>
      </c>
      <c r="B5" s="7" t="s">
        <v>223</v>
      </c>
      <c r="C5" s="7" t="s">
        <v>209</v>
      </c>
      <c r="D5" s="7" t="s">
        <v>50</v>
      </c>
      <c r="E5" s="7" t="s">
        <v>224</v>
      </c>
      <c r="F5" s="7" t="s">
        <v>225</v>
      </c>
      <c r="G5" s="7" t="s">
        <v>212</v>
      </c>
      <c r="H5" s="7">
        <v>0.64</v>
      </c>
      <c r="I5" s="7" t="s">
        <v>213</v>
      </c>
      <c r="J5" s="17" t="s">
        <v>173</v>
      </c>
      <c r="K5" s="7" t="s">
        <v>162</v>
      </c>
    </row>
    <row r="6" spans="1:11" ht="27.85" thickBot="1" x14ac:dyDescent="0.3">
      <c r="A6" s="6" t="s">
        <v>226</v>
      </c>
      <c r="B6" s="7" t="s">
        <v>227</v>
      </c>
      <c r="C6" s="7" t="s">
        <v>220</v>
      </c>
      <c r="D6" s="7" t="s">
        <v>50</v>
      </c>
      <c r="E6" s="7" t="s">
        <v>228</v>
      </c>
      <c r="F6" s="7"/>
      <c r="G6" s="7" t="s">
        <v>212</v>
      </c>
      <c r="H6" s="7">
        <v>0.71</v>
      </c>
      <c r="I6" s="7" t="s">
        <v>213</v>
      </c>
      <c r="J6" s="17" t="s">
        <v>173</v>
      </c>
      <c r="K6" s="7" t="s">
        <v>162</v>
      </c>
    </row>
    <row r="7" spans="1:11" ht="27.85" thickBot="1" x14ac:dyDescent="0.3">
      <c r="A7" s="6" t="s">
        <v>229</v>
      </c>
      <c r="B7" s="7" t="s">
        <v>230</v>
      </c>
      <c r="C7" s="7" t="s">
        <v>209</v>
      </c>
      <c r="D7" s="16">
        <v>0.64</v>
      </c>
      <c r="E7" s="7" t="s">
        <v>217</v>
      </c>
      <c r="F7" s="7" t="s">
        <v>231</v>
      </c>
      <c r="G7" s="7" t="s">
        <v>212</v>
      </c>
      <c r="H7" s="7">
        <v>0.71</v>
      </c>
      <c r="I7" s="7" t="s">
        <v>213</v>
      </c>
      <c r="J7" s="17" t="s">
        <v>173</v>
      </c>
      <c r="K7" s="7" t="s">
        <v>162</v>
      </c>
    </row>
    <row r="8" spans="1:11" ht="27.85" thickBot="1" x14ac:dyDescent="0.3">
      <c r="A8" s="6" t="s">
        <v>232</v>
      </c>
      <c r="B8" s="7" t="s">
        <v>233</v>
      </c>
      <c r="C8" s="7" t="s">
        <v>220</v>
      </c>
      <c r="D8" s="7"/>
      <c r="E8" s="7" t="s">
        <v>234</v>
      </c>
      <c r="F8" s="7"/>
      <c r="G8" s="7" t="s">
        <v>212</v>
      </c>
      <c r="H8" s="7">
        <v>0.69</v>
      </c>
      <c r="I8" s="7" t="s">
        <v>213</v>
      </c>
      <c r="J8" s="17" t="s">
        <v>173</v>
      </c>
      <c r="K8" s="7" t="s">
        <v>162</v>
      </c>
    </row>
    <row r="9" spans="1:11" ht="27.85" thickBot="1" x14ac:dyDescent="0.3">
      <c r="A9" s="6" t="s">
        <v>235</v>
      </c>
      <c r="B9" s="7" t="s">
        <v>236</v>
      </c>
      <c r="C9" s="7" t="s">
        <v>220</v>
      </c>
      <c r="D9" s="7" t="s">
        <v>50</v>
      </c>
      <c r="E9" s="7" t="s">
        <v>237</v>
      </c>
      <c r="F9" s="7" t="s">
        <v>50</v>
      </c>
      <c r="G9" s="7" t="s">
        <v>212</v>
      </c>
      <c r="H9" s="7">
        <v>0.56000000000000005</v>
      </c>
      <c r="I9" s="7" t="s">
        <v>238</v>
      </c>
      <c r="J9" s="17" t="s">
        <v>173</v>
      </c>
      <c r="K9" s="7" t="s">
        <v>162</v>
      </c>
    </row>
    <row r="10" spans="1:11" ht="27.85" thickBot="1" x14ac:dyDescent="0.3">
      <c r="A10" s="6" t="s">
        <v>239</v>
      </c>
      <c r="B10" s="7" t="s">
        <v>240</v>
      </c>
      <c r="C10" s="7" t="s">
        <v>209</v>
      </c>
      <c r="D10" s="16">
        <v>0.37</v>
      </c>
      <c r="E10" s="7" t="s">
        <v>241</v>
      </c>
      <c r="F10" s="7" t="s">
        <v>242</v>
      </c>
      <c r="G10" s="7" t="s">
        <v>238</v>
      </c>
      <c r="H10" s="7">
        <v>0.59</v>
      </c>
      <c r="I10" s="7" t="s">
        <v>238</v>
      </c>
      <c r="J10" s="17" t="s">
        <v>173</v>
      </c>
      <c r="K10" s="7" t="s">
        <v>163</v>
      </c>
    </row>
    <row r="11" spans="1:11" ht="27.85" thickBot="1" x14ac:dyDescent="0.3">
      <c r="A11" s="6" t="s">
        <v>243</v>
      </c>
      <c r="B11" s="7" t="s">
        <v>244</v>
      </c>
      <c r="C11" s="7" t="s">
        <v>209</v>
      </c>
      <c r="D11" s="7" t="s">
        <v>50</v>
      </c>
      <c r="E11" s="7" t="s">
        <v>245</v>
      </c>
      <c r="F11" s="7" t="s">
        <v>246</v>
      </c>
      <c r="G11" s="7" t="s">
        <v>238</v>
      </c>
      <c r="H11" s="7">
        <v>0.59</v>
      </c>
      <c r="I11" s="7" t="s">
        <v>238</v>
      </c>
      <c r="J11" s="17" t="s">
        <v>173</v>
      </c>
      <c r="K11" s="7" t="s">
        <v>163</v>
      </c>
    </row>
    <row r="12" spans="1:11" ht="27.85" thickBot="1" x14ac:dyDescent="0.3">
      <c r="A12" s="6" t="s">
        <v>247</v>
      </c>
      <c r="B12" s="7" t="s">
        <v>248</v>
      </c>
      <c r="C12" s="7" t="s">
        <v>249</v>
      </c>
      <c r="D12" s="7"/>
      <c r="E12" s="7" t="s">
        <v>250</v>
      </c>
      <c r="F12" s="7"/>
      <c r="G12" s="7" t="s">
        <v>212</v>
      </c>
      <c r="H12" s="7">
        <v>0.53</v>
      </c>
      <c r="I12" s="7" t="s">
        <v>238</v>
      </c>
      <c r="J12" s="17" t="s">
        <v>173</v>
      </c>
      <c r="K12" s="7" t="s">
        <v>162</v>
      </c>
    </row>
    <row r="13" spans="1:11" ht="27.85" thickBot="1" x14ac:dyDescent="0.3">
      <c r="A13" s="6" t="s">
        <v>251</v>
      </c>
      <c r="B13" s="7" t="s">
        <v>252</v>
      </c>
      <c r="C13" s="7" t="s">
        <v>253</v>
      </c>
      <c r="D13" s="7"/>
      <c r="E13" s="7" t="s">
        <v>254</v>
      </c>
      <c r="F13" s="7"/>
      <c r="G13" s="7" t="s">
        <v>238</v>
      </c>
      <c r="H13" s="7">
        <v>0.66</v>
      </c>
      <c r="I13" s="7" t="s">
        <v>213</v>
      </c>
      <c r="J13" s="17" t="s">
        <v>173</v>
      </c>
      <c r="K13" s="7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3EFF1-1D28-4AED-84C5-37684477AF5B}">
  <dimension ref="A1:G26"/>
  <sheetViews>
    <sheetView workbookViewId="0">
      <selection activeCell="G1" sqref="G1"/>
    </sheetView>
  </sheetViews>
  <sheetFormatPr defaultRowHeight="14.3" x14ac:dyDescent="0.25"/>
  <sheetData>
    <row r="1" spans="1:7" ht="54.35" thickBot="1" x14ac:dyDescent="0.3">
      <c r="A1" s="11" t="s">
        <v>35</v>
      </c>
      <c r="B1" s="12" t="s">
        <v>38</v>
      </c>
      <c r="C1" s="12" t="s">
        <v>39</v>
      </c>
      <c r="D1" s="12" t="s">
        <v>40</v>
      </c>
      <c r="E1" s="12" t="s">
        <v>169</v>
      </c>
      <c r="F1" s="12" t="s">
        <v>170</v>
      </c>
      <c r="G1" s="9" t="s">
        <v>161</v>
      </c>
    </row>
    <row r="2" spans="1:7" ht="29.25" thickBot="1" x14ac:dyDescent="0.3">
      <c r="A2" s="13" t="s">
        <v>171</v>
      </c>
      <c r="B2" s="14" t="s">
        <v>47</v>
      </c>
      <c r="C2" s="14">
        <v>0.6</v>
      </c>
      <c r="D2" s="14" t="s">
        <v>48</v>
      </c>
      <c r="E2" s="14" t="s">
        <v>172</v>
      </c>
      <c r="F2" s="15" t="s">
        <v>173</v>
      </c>
      <c r="G2" s="14" t="s">
        <v>162</v>
      </c>
    </row>
    <row r="3" spans="1:7" ht="29.25" thickBot="1" x14ac:dyDescent="0.3">
      <c r="A3" s="13" t="s">
        <v>174</v>
      </c>
      <c r="B3" s="14" t="s">
        <v>47</v>
      </c>
      <c r="C3" s="14">
        <v>0.8</v>
      </c>
      <c r="D3" s="14" t="s">
        <v>53</v>
      </c>
      <c r="E3" s="14" t="s">
        <v>172</v>
      </c>
      <c r="F3" s="15" t="s">
        <v>173</v>
      </c>
      <c r="G3" s="14" t="s">
        <v>162</v>
      </c>
    </row>
    <row r="4" spans="1:7" ht="29.25" thickBot="1" x14ac:dyDescent="0.3">
      <c r="A4" s="13" t="s">
        <v>175</v>
      </c>
      <c r="B4" s="14" t="s">
        <v>47</v>
      </c>
      <c r="C4" s="14">
        <v>0.67</v>
      </c>
      <c r="D4" s="14" t="s">
        <v>53</v>
      </c>
      <c r="E4" s="14" t="s">
        <v>172</v>
      </c>
      <c r="F4" s="15" t="s">
        <v>173</v>
      </c>
      <c r="G4" s="14" t="s">
        <v>162</v>
      </c>
    </row>
    <row r="5" spans="1:7" ht="29.25" thickBot="1" x14ac:dyDescent="0.3">
      <c r="A5" s="13" t="s">
        <v>176</v>
      </c>
      <c r="B5" s="14" t="s">
        <v>47</v>
      </c>
      <c r="C5" s="14">
        <v>0.75</v>
      </c>
      <c r="D5" s="14" t="s">
        <v>53</v>
      </c>
      <c r="E5" s="14" t="s">
        <v>172</v>
      </c>
      <c r="F5" s="15" t="s">
        <v>173</v>
      </c>
      <c r="G5" s="14" t="s">
        <v>162</v>
      </c>
    </row>
    <row r="6" spans="1:7" ht="29.25" thickBot="1" x14ac:dyDescent="0.3">
      <c r="A6" s="13" t="s">
        <v>177</v>
      </c>
      <c r="B6" s="14" t="s">
        <v>47</v>
      </c>
      <c r="C6" s="14">
        <v>0.77</v>
      </c>
      <c r="D6" s="14" t="s">
        <v>53</v>
      </c>
      <c r="E6" s="14" t="s">
        <v>172</v>
      </c>
      <c r="F6" s="15" t="s">
        <v>173</v>
      </c>
      <c r="G6" s="14" t="s">
        <v>162</v>
      </c>
    </row>
    <row r="7" spans="1:7" ht="29.25" thickBot="1" x14ac:dyDescent="0.3">
      <c r="A7" s="13" t="s">
        <v>178</v>
      </c>
      <c r="B7" s="14" t="s">
        <v>47</v>
      </c>
      <c r="C7" s="14">
        <v>0.77</v>
      </c>
      <c r="D7" s="14" t="s">
        <v>53</v>
      </c>
      <c r="E7" s="14" t="s">
        <v>172</v>
      </c>
      <c r="F7" s="15" t="s">
        <v>173</v>
      </c>
      <c r="G7" s="14" t="s">
        <v>162</v>
      </c>
    </row>
    <row r="8" spans="1:7" ht="29.25" thickBot="1" x14ac:dyDescent="0.3">
      <c r="A8" s="13" t="s">
        <v>179</v>
      </c>
      <c r="B8" s="14" t="s">
        <v>47</v>
      </c>
      <c r="C8" s="14">
        <v>0.78</v>
      </c>
      <c r="D8" s="14" t="s">
        <v>53</v>
      </c>
      <c r="E8" s="14" t="s">
        <v>172</v>
      </c>
      <c r="F8" s="15" t="s">
        <v>173</v>
      </c>
      <c r="G8" s="14" t="s">
        <v>162</v>
      </c>
    </row>
    <row r="9" spans="1:7" ht="29.25" thickBot="1" x14ac:dyDescent="0.3">
      <c r="A9" s="13" t="s">
        <v>180</v>
      </c>
      <c r="B9" s="14" t="s">
        <v>47</v>
      </c>
      <c r="C9" s="14">
        <v>0.77</v>
      </c>
      <c r="D9" s="14" t="s">
        <v>53</v>
      </c>
      <c r="E9" s="14" t="s">
        <v>172</v>
      </c>
      <c r="F9" s="15" t="s">
        <v>173</v>
      </c>
      <c r="G9" s="14" t="s">
        <v>162</v>
      </c>
    </row>
    <row r="10" spans="1:7" ht="29.25" thickBot="1" x14ac:dyDescent="0.3">
      <c r="A10" s="13" t="s">
        <v>181</v>
      </c>
      <c r="B10" s="14" t="s">
        <v>48</v>
      </c>
      <c r="C10" s="14">
        <v>0.71</v>
      </c>
      <c r="D10" s="14" t="s">
        <v>53</v>
      </c>
      <c r="E10" s="14" t="s">
        <v>182</v>
      </c>
      <c r="F10" s="15" t="s">
        <v>173</v>
      </c>
      <c r="G10" s="14" t="s">
        <v>163</v>
      </c>
    </row>
    <row r="11" spans="1:7" ht="29.25" thickBot="1" x14ac:dyDescent="0.3">
      <c r="A11" s="13" t="s">
        <v>183</v>
      </c>
      <c r="B11" s="14" t="s">
        <v>48</v>
      </c>
      <c r="C11" s="14">
        <v>0.72</v>
      </c>
      <c r="D11" s="14" t="s">
        <v>53</v>
      </c>
      <c r="E11" s="14" t="s">
        <v>182</v>
      </c>
      <c r="F11" s="15" t="s">
        <v>173</v>
      </c>
      <c r="G11" s="14" t="s">
        <v>163</v>
      </c>
    </row>
    <row r="12" spans="1:7" ht="29.25" thickBot="1" x14ac:dyDescent="0.3">
      <c r="A12" s="13" t="s">
        <v>184</v>
      </c>
      <c r="B12" s="14" t="s">
        <v>48</v>
      </c>
      <c r="C12" s="14">
        <v>0.69</v>
      </c>
      <c r="D12" s="14" t="s">
        <v>53</v>
      </c>
      <c r="E12" s="14" t="s">
        <v>182</v>
      </c>
      <c r="F12" s="15" t="s">
        <v>173</v>
      </c>
      <c r="G12" s="14" t="s">
        <v>163</v>
      </c>
    </row>
    <row r="13" spans="1:7" ht="29.25" thickBot="1" x14ac:dyDescent="0.3">
      <c r="A13" s="13" t="s">
        <v>185</v>
      </c>
      <c r="B13" s="14" t="s">
        <v>48</v>
      </c>
      <c r="C13" s="14">
        <v>0.78</v>
      </c>
      <c r="D13" s="14" t="s">
        <v>53</v>
      </c>
      <c r="E13" s="14" t="s">
        <v>186</v>
      </c>
      <c r="F13" s="15" t="s">
        <v>173</v>
      </c>
      <c r="G13" s="14" t="s">
        <v>163</v>
      </c>
    </row>
    <row r="14" spans="1:7" ht="29.25" thickBot="1" x14ac:dyDescent="0.3">
      <c r="A14" s="13" t="s">
        <v>187</v>
      </c>
      <c r="B14" s="14" t="s">
        <v>48</v>
      </c>
      <c r="C14" s="14">
        <v>0.78</v>
      </c>
      <c r="D14" s="14" t="s">
        <v>53</v>
      </c>
      <c r="E14" s="14" t="s">
        <v>186</v>
      </c>
      <c r="F14" s="15" t="s">
        <v>173</v>
      </c>
      <c r="G14" s="14" t="s">
        <v>163</v>
      </c>
    </row>
    <row r="15" spans="1:7" ht="29.25" thickBot="1" x14ac:dyDescent="0.3">
      <c r="A15" s="13" t="s">
        <v>188</v>
      </c>
      <c r="B15" s="14" t="s">
        <v>48</v>
      </c>
      <c r="C15" s="14">
        <v>0.71</v>
      </c>
      <c r="D15" s="14" t="s">
        <v>53</v>
      </c>
      <c r="E15" s="14" t="s">
        <v>186</v>
      </c>
      <c r="F15" s="15" t="s">
        <v>173</v>
      </c>
      <c r="G15" s="14" t="s">
        <v>163</v>
      </c>
    </row>
    <row r="16" spans="1:7" ht="29.25" thickBot="1" x14ac:dyDescent="0.3">
      <c r="A16" s="13" t="s">
        <v>189</v>
      </c>
      <c r="B16" s="14" t="s">
        <v>48</v>
      </c>
      <c r="C16" s="14">
        <v>0.73</v>
      </c>
      <c r="D16" s="14" t="s">
        <v>53</v>
      </c>
      <c r="E16" s="14" t="s">
        <v>186</v>
      </c>
      <c r="F16" s="15" t="s">
        <v>173</v>
      </c>
      <c r="G16" s="14" t="s">
        <v>163</v>
      </c>
    </row>
    <row r="17" spans="1:7" ht="29.25" thickBot="1" x14ac:dyDescent="0.3">
      <c r="A17" s="13" t="s">
        <v>190</v>
      </c>
      <c r="B17" s="14" t="s">
        <v>48</v>
      </c>
      <c r="C17" s="14">
        <v>0.63</v>
      </c>
      <c r="D17" s="14" t="s">
        <v>53</v>
      </c>
      <c r="E17" s="14" t="s">
        <v>191</v>
      </c>
      <c r="F17" s="15" t="s">
        <v>173</v>
      </c>
      <c r="G17" s="14" t="s">
        <v>163</v>
      </c>
    </row>
    <row r="18" spans="1:7" ht="29.25" thickBot="1" x14ac:dyDescent="0.3">
      <c r="A18" s="13" t="s">
        <v>192</v>
      </c>
      <c r="B18" s="14" t="s">
        <v>48</v>
      </c>
      <c r="C18" s="14">
        <v>0.66</v>
      </c>
      <c r="D18" s="14" t="s">
        <v>53</v>
      </c>
      <c r="E18" s="14" t="s">
        <v>191</v>
      </c>
      <c r="F18" s="15" t="s">
        <v>173</v>
      </c>
      <c r="G18" s="14" t="s">
        <v>163</v>
      </c>
    </row>
    <row r="19" spans="1:7" ht="29.25" thickBot="1" x14ac:dyDescent="0.3">
      <c r="A19" s="13" t="s">
        <v>193</v>
      </c>
      <c r="B19" s="14" t="s">
        <v>48</v>
      </c>
      <c r="C19" s="14">
        <v>0.62</v>
      </c>
      <c r="D19" s="14" t="s">
        <v>53</v>
      </c>
      <c r="E19" s="14" t="s">
        <v>191</v>
      </c>
      <c r="F19" s="15" t="s">
        <v>173</v>
      </c>
      <c r="G19" s="14" t="s">
        <v>163</v>
      </c>
    </row>
    <row r="20" spans="1:7" ht="29.25" thickBot="1" x14ac:dyDescent="0.3">
      <c r="A20" s="13" t="s">
        <v>194</v>
      </c>
      <c r="B20" s="14" t="s">
        <v>48</v>
      </c>
      <c r="C20" s="14">
        <v>0.56000000000000005</v>
      </c>
      <c r="D20" s="14" t="s">
        <v>48</v>
      </c>
      <c r="E20" s="14" t="s">
        <v>191</v>
      </c>
      <c r="F20" s="15" t="s">
        <v>173</v>
      </c>
      <c r="G20" s="14" t="s">
        <v>163</v>
      </c>
    </row>
    <row r="21" spans="1:7" ht="29.25" thickBot="1" x14ac:dyDescent="0.3">
      <c r="A21" s="13" t="s">
        <v>195</v>
      </c>
      <c r="B21" s="14" t="s">
        <v>48</v>
      </c>
      <c r="C21" s="14">
        <v>0.55000000000000004</v>
      </c>
      <c r="D21" s="14" t="s">
        <v>48</v>
      </c>
      <c r="E21" s="14" t="s">
        <v>191</v>
      </c>
      <c r="F21" s="15" t="s">
        <v>173</v>
      </c>
      <c r="G21" s="14" t="s">
        <v>163</v>
      </c>
    </row>
    <row r="22" spans="1:7" ht="29.25" thickBot="1" x14ac:dyDescent="0.3">
      <c r="A22" s="13" t="s">
        <v>196</v>
      </c>
      <c r="B22" s="14" t="s">
        <v>47</v>
      </c>
      <c r="C22" s="14">
        <v>0.66</v>
      </c>
      <c r="D22" s="14" t="s">
        <v>53</v>
      </c>
      <c r="E22" s="14" t="s">
        <v>191</v>
      </c>
      <c r="F22" s="14" t="s">
        <v>197</v>
      </c>
      <c r="G22" s="14" t="s">
        <v>164</v>
      </c>
    </row>
    <row r="23" spans="1:7" ht="29.25" thickBot="1" x14ac:dyDescent="0.3">
      <c r="A23" s="13" t="s">
        <v>198</v>
      </c>
      <c r="B23" s="14" t="s">
        <v>48</v>
      </c>
      <c r="C23" s="14">
        <v>0.63</v>
      </c>
      <c r="D23" s="14" t="s">
        <v>53</v>
      </c>
      <c r="E23" s="14" t="s">
        <v>191</v>
      </c>
      <c r="F23" s="15" t="s">
        <v>173</v>
      </c>
      <c r="G23" s="14" t="s">
        <v>163</v>
      </c>
    </row>
    <row r="24" spans="1:7" ht="29.25" thickBot="1" x14ac:dyDescent="0.3">
      <c r="A24" s="13" t="s">
        <v>199</v>
      </c>
      <c r="B24" s="14" t="s">
        <v>48</v>
      </c>
      <c r="C24" s="14">
        <v>0.61</v>
      </c>
      <c r="D24" s="14" t="s">
        <v>53</v>
      </c>
      <c r="E24" s="14" t="s">
        <v>191</v>
      </c>
      <c r="F24" s="15" t="s">
        <v>173</v>
      </c>
      <c r="G24" s="14" t="s">
        <v>163</v>
      </c>
    </row>
    <row r="25" spans="1:7" ht="29.25" thickBot="1" x14ac:dyDescent="0.3">
      <c r="A25" s="13" t="s">
        <v>200</v>
      </c>
      <c r="B25" s="14" t="s">
        <v>48</v>
      </c>
      <c r="C25" s="14">
        <v>0.62</v>
      </c>
      <c r="D25" s="14" t="s">
        <v>53</v>
      </c>
      <c r="E25" s="14" t="s">
        <v>191</v>
      </c>
      <c r="F25" s="15" t="s">
        <v>173</v>
      </c>
      <c r="G25" s="14" t="s">
        <v>163</v>
      </c>
    </row>
    <row r="26" spans="1:7" ht="29.25" thickBot="1" x14ac:dyDescent="0.3">
      <c r="A26" s="13" t="s">
        <v>201</v>
      </c>
      <c r="B26" s="14" t="s">
        <v>48</v>
      </c>
      <c r="C26" s="14">
        <v>0.7</v>
      </c>
      <c r="D26" s="14" t="s">
        <v>53</v>
      </c>
      <c r="E26" s="14" t="s">
        <v>191</v>
      </c>
      <c r="F26" s="15" t="s">
        <v>173</v>
      </c>
      <c r="G26" s="14" t="s">
        <v>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3615-DA28-4712-8D19-1B98A51B8EBD}">
  <dimension ref="A1:K62"/>
  <sheetViews>
    <sheetView workbookViewId="0">
      <selection activeCell="K1" sqref="K1"/>
    </sheetView>
  </sheetViews>
  <sheetFormatPr defaultRowHeight="14.3" x14ac:dyDescent="0.25"/>
  <sheetData>
    <row r="1" spans="1:11" ht="90.35" thickBot="1" x14ac:dyDescent="0.3">
      <c r="A1" s="4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9" t="s">
        <v>161</v>
      </c>
    </row>
    <row r="2" spans="1:11" ht="27.85" thickBot="1" x14ac:dyDescent="0.3">
      <c r="A2" s="6" t="s">
        <v>43</v>
      </c>
      <c r="B2" s="7" t="s">
        <v>44</v>
      </c>
      <c r="C2" s="7" t="s">
        <v>45</v>
      </c>
      <c r="D2" s="8">
        <v>17545</v>
      </c>
      <c r="E2" s="7" t="s">
        <v>46</v>
      </c>
      <c r="F2" s="7" t="s">
        <v>47</v>
      </c>
      <c r="G2" s="7">
        <v>0.51</v>
      </c>
      <c r="H2" s="7" t="s">
        <v>48</v>
      </c>
      <c r="I2" s="7" t="s">
        <v>49</v>
      </c>
      <c r="J2" s="7" t="s">
        <v>50</v>
      </c>
      <c r="K2" s="10" t="s">
        <v>162</v>
      </c>
    </row>
    <row r="3" spans="1:11" ht="27.85" thickBot="1" x14ac:dyDescent="0.3">
      <c r="A3" s="6" t="s">
        <v>43</v>
      </c>
      <c r="B3" s="7" t="s">
        <v>51</v>
      </c>
      <c r="C3" s="7" t="s">
        <v>52</v>
      </c>
      <c r="D3" s="7">
        <v>558</v>
      </c>
      <c r="E3" s="7" t="s">
        <v>46</v>
      </c>
      <c r="F3" s="7" t="s">
        <v>47</v>
      </c>
      <c r="G3" s="7">
        <v>0.72</v>
      </c>
      <c r="H3" s="7" t="s">
        <v>53</v>
      </c>
      <c r="I3" s="7" t="s">
        <v>49</v>
      </c>
      <c r="J3" s="7" t="s">
        <v>50</v>
      </c>
      <c r="K3" s="10" t="s">
        <v>162</v>
      </c>
    </row>
    <row r="4" spans="1:11" ht="27.85" thickBot="1" x14ac:dyDescent="0.3">
      <c r="A4" s="6" t="s">
        <v>54</v>
      </c>
      <c r="B4" s="7" t="s">
        <v>44</v>
      </c>
      <c r="C4" s="7" t="s">
        <v>55</v>
      </c>
      <c r="D4" s="7">
        <v>55</v>
      </c>
      <c r="E4" s="7" t="s">
        <v>46</v>
      </c>
      <c r="F4" s="7" t="s">
        <v>47</v>
      </c>
      <c r="G4" s="7">
        <v>0.81</v>
      </c>
      <c r="H4" s="7" t="s">
        <v>56</v>
      </c>
      <c r="I4" s="7" t="s">
        <v>49</v>
      </c>
      <c r="J4" s="7" t="s">
        <v>50</v>
      </c>
      <c r="K4" s="10" t="s">
        <v>162</v>
      </c>
    </row>
    <row r="5" spans="1:11" ht="27.85" thickBot="1" x14ac:dyDescent="0.3">
      <c r="A5" s="6" t="s">
        <v>82</v>
      </c>
      <c r="B5" s="7" t="s">
        <v>44</v>
      </c>
      <c r="C5" s="7" t="s">
        <v>83</v>
      </c>
      <c r="D5" s="7">
        <v>144</v>
      </c>
      <c r="E5" s="7" t="s">
        <v>46</v>
      </c>
      <c r="F5" s="7" t="s">
        <v>47</v>
      </c>
      <c r="G5" s="7">
        <v>0.55000000000000004</v>
      </c>
      <c r="H5" s="7" t="s">
        <v>48</v>
      </c>
      <c r="I5" s="7" t="s">
        <v>49</v>
      </c>
      <c r="J5" s="7" t="s">
        <v>50</v>
      </c>
      <c r="K5" s="10" t="s">
        <v>162</v>
      </c>
    </row>
    <row r="6" spans="1:11" ht="27.85" thickBot="1" x14ac:dyDescent="0.3">
      <c r="A6" s="6" t="s">
        <v>82</v>
      </c>
      <c r="B6" s="7" t="s">
        <v>51</v>
      </c>
      <c r="C6" s="7" t="s">
        <v>84</v>
      </c>
      <c r="D6" s="7">
        <v>552</v>
      </c>
      <c r="E6" s="7" t="s">
        <v>46</v>
      </c>
      <c r="F6" s="7" t="s">
        <v>47</v>
      </c>
      <c r="G6" s="7">
        <v>0.64</v>
      </c>
      <c r="H6" s="7" t="s">
        <v>53</v>
      </c>
      <c r="I6" s="7" t="s">
        <v>49</v>
      </c>
      <c r="J6" s="7" t="s">
        <v>50</v>
      </c>
      <c r="K6" s="10" t="s">
        <v>162</v>
      </c>
    </row>
    <row r="7" spans="1:11" ht="27.85" thickBot="1" x14ac:dyDescent="0.3">
      <c r="A7" s="6" t="s">
        <v>85</v>
      </c>
      <c r="B7" s="7" t="s">
        <v>51</v>
      </c>
      <c r="C7" s="7" t="s">
        <v>86</v>
      </c>
      <c r="D7" s="7">
        <v>124</v>
      </c>
      <c r="E7" s="7" t="s">
        <v>46</v>
      </c>
      <c r="F7" s="7" t="s">
        <v>47</v>
      </c>
      <c r="G7" s="7">
        <v>0.84</v>
      </c>
      <c r="H7" s="7" t="s">
        <v>87</v>
      </c>
      <c r="I7" s="7" t="s">
        <v>49</v>
      </c>
      <c r="J7" s="7" t="s">
        <v>50</v>
      </c>
      <c r="K7" s="10" t="s">
        <v>162</v>
      </c>
    </row>
    <row r="8" spans="1:11" ht="27.85" thickBot="1" x14ac:dyDescent="0.3">
      <c r="A8" s="6" t="s">
        <v>95</v>
      </c>
      <c r="B8" s="7" t="s">
        <v>44</v>
      </c>
      <c r="C8" s="7" t="s">
        <v>96</v>
      </c>
      <c r="D8" s="7">
        <v>59</v>
      </c>
      <c r="E8" s="7" t="s">
        <v>46</v>
      </c>
      <c r="F8" s="7" t="s">
        <v>47</v>
      </c>
      <c r="G8" s="7">
        <v>0.79</v>
      </c>
      <c r="H8" s="7" t="s">
        <v>53</v>
      </c>
      <c r="I8" s="7" t="s">
        <v>49</v>
      </c>
      <c r="J8" s="7" t="s">
        <v>50</v>
      </c>
      <c r="K8" s="10" t="s">
        <v>162</v>
      </c>
    </row>
    <row r="9" spans="1:11" ht="27.85" thickBot="1" x14ac:dyDescent="0.3">
      <c r="A9" s="6" t="s">
        <v>95</v>
      </c>
      <c r="B9" s="7" t="s">
        <v>51</v>
      </c>
      <c r="C9" s="7" t="s">
        <v>97</v>
      </c>
      <c r="D9" s="7">
        <v>107</v>
      </c>
      <c r="E9" s="7" t="s">
        <v>46</v>
      </c>
      <c r="F9" s="7" t="s">
        <v>47</v>
      </c>
      <c r="G9" s="7">
        <v>0.68</v>
      </c>
      <c r="H9" s="7" t="s">
        <v>53</v>
      </c>
      <c r="I9" s="7" t="s">
        <v>49</v>
      </c>
      <c r="J9" s="7" t="s">
        <v>50</v>
      </c>
      <c r="K9" s="10" t="s">
        <v>162</v>
      </c>
    </row>
    <row r="10" spans="1:11" ht="27.85" thickBot="1" x14ac:dyDescent="0.3">
      <c r="A10" s="6" t="s">
        <v>120</v>
      </c>
      <c r="B10" s="7" t="s">
        <v>44</v>
      </c>
      <c r="C10" s="7" t="s">
        <v>121</v>
      </c>
      <c r="D10" s="8">
        <v>4060</v>
      </c>
      <c r="E10" s="7" t="s">
        <v>46</v>
      </c>
      <c r="F10" s="7" t="s">
        <v>47</v>
      </c>
      <c r="G10" s="7">
        <v>0.51</v>
      </c>
      <c r="H10" s="7" t="s">
        <v>48</v>
      </c>
      <c r="I10" s="7" t="s">
        <v>49</v>
      </c>
      <c r="J10" s="7" t="s">
        <v>50</v>
      </c>
      <c r="K10" s="10" t="s">
        <v>162</v>
      </c>
    </row>
    <row r="11" spans="1:11" ht="27.85" thickBot="1" x14ac:dyDescent="0.3">
      <c r="A11" s="6" t="s">
        <v>120</v>
      </c>
      <c r="B11" s="7" t="s">
        <v>51</v>
      </c>
      <c r="C11" s="7" t="s">
        <v>122</v>
      </c>
      <c r="D11" s="7">
        <v>374</v>
      </c>
      <c r="E11" s="7" t="s">
        <v>46</v>
      </c>
      <c r="F11" s="7" t="s">
        <v>47</v>
      </c>
      <c r="G11" s="7">
        <v>0.55000000000000004</v>
      </c>
      <c r="H11" s="7" t="s">
        <v>48</v>
      </c>
      <c r="I11" s="7" t="s">
        <v>49</v>
      </c>
      <c r="J11" s="7" t="s">
        <v>50</v>
      </c>
      <c r="K11" s="10" t="s">
        <v>162</v>
      </c>
    </row>
    <row r="12" spans="1:11" ht="27.85" thickBot="1" x14ac:dyDescent="0.3">
      <c r="A12" s="6" t="s">
        <v>128</v>
      </c>
      <c r="B12" s="7" t="s">
        <v>44</v>
      </c>
      <c r="C12" s="7" t="s">
        <v>129</v>
      </c>
      <c r="D12" s="8">
        <v>1795</v>
      </c>
      <c r="E12" s="7" t="s">
        <v>46</v>
      </c>
      <c r="F12" s="7" t="s">
        <v>47</v>
      </c>
      <c r="G12" s="7">
        <v>0.54</v>
      </c>
      <c r="H12" s="7" t="s">
        <v>48</v>
      </c>
      <c r="I12" s="7" t="s">
        <v>49</v>
      </c>
      <c r="J12" s="7"/>
      <c r="K12" s="10" t="s">
        <v>162</v>
      </c>
    </row>
    <row r="13" spans="1:11" ht="27.85" thickBot="1" x14ac:dyDescent="0.3">
      <c r="A13" s="6" t="s">
        <v>128</v>
      </c>
      <c r="B13" s="7" t="s">
        <v>51</v>
      </c>
      <c r="C13" s="7" t="s">
        <v>130</v>
      </c>
      <c r="D13" s="7">
        <v>173</v>
      </c>
      <c r="E13" s="7" t="s">
        <v>46</v>
      </c>
      <c r="F13" s="7" t="s">
        <v>47</v>
      </c>
      <c r="G13" s="7">
        <v>0.75</v>
      </c>
      <c r="H13" s="7" t="s">
        <v>53</v>
      </c>
      <c r="I13" s="7" t="s">
        <v>49</v>
      </c>
      <c r="J13" s="7" t="s">
        <v>50</v>
      </c>
      <c r="K13" s="10" t="s">
        <v>162</v>
      </c>
    </row>
    <row r="14" spans="1:11" ht="27.85" thickBot="1" x14ac:dyDescent="0.3">
      <c r="A14" s="6" t="s">
        <v>131</v>
      </c>
      <c r="B14" s="7" t="s">
        <v>44</v>
      </c>
      <c r="C14" s="7" t="s">
        <v>132</v>
      </c>
      <c r="D14" s="7">
        <v>485</v>
      </c>
      <c r="E14" s="7" t="s">
        <v>46</v>
      </c>
      <c r="F14" s="7" t="s">
        <v>47</v>
      </c>
      <c r="G14" s="7">
        <v>0.64</v>
      </c>
      <c r="H14" s="7" t="s">
        <v>53</v>
      </c>
      <c r="I14" s="7" t="s">
        <v>49</v>
      </c>
      <c r="J14" s="7" t="s">
        <v>50</v>
      </c>
      <c r="K14" s="10" t="s">
        <v>162</v>
      </c>
    </row>
    <row r="15" spans="1:11" ht="27.85" thickBot="1" x14ac:dyDescent="0.3">
      <c r="A15" s="6" t="s">
        <v>131</v>
      </c>
      <c r="B15" s="7" t="s">
        <v>51</v>
      </c>
      <c r="C15" s="7" t="s">
        <v>133</v>
      </c>
      <c r="D15" s="7">
        <v>162</v>
      </c>
      <c r="E15" s="7" t="s">
        <v>46</v>
      </c>
      <c r="F15" s="7" t="s">
        <v>47</v>
      </c>
      <c r="G15" s="7">
        <v>0.72</v>
      </c>
      <c r="H15" s="7" t="s">
        <v>53</v>
      </c>
      <c r="I15" s="7" t="s">
        <v>49</v>
      </c>
      <c r="J15" s="7" t="s">
        <v>50</v>
      </c>
      <c r="K15" s="10" t="s">
        <v>162</v>
      </c>
    </row>
    <row r="16" spans="1:11" ht="27.85" thickBot="1" x14ac:dyDescent="0.3">
      <c r="A16" s="6" t="s">
        <v>134</v>
      </c>
      <c r="B16" s="7" t="s">
        <v>44</v>
      </c>
      <c r="C16" s="7" t="s">
        <v>135</v>
      </c>
      <c r="D16" s="7">
        <v>216</v>
      </c>
      <c r="E16" s="7" t="s">
        <v>46</v>
      </c>
      <c r="F16" s="7" t="s">
        <v>47</v>
      </c>
      <c r="G16" s="7">
        <v>0.72</v>
      </c>
      <c r="H16" s="7" t="s">
        <v>53</v>
      </c>
      <c r="I16" s="7" t="s">
        <v>49</v>
      </c>
      <c r="J16" s="7" t="s">
        <v>50</v>
      </c>
      <c r="K16" s="10" t="s">
        <v>162</v>
      </c>
    </row>
    <row r="17" spans="1:11" ht="27.85" thickBot="1" x14ac:dyDescent="0.3">
      <c r="A17" s="6" t="s">
        <v>136</v>
      </c>
      <c r="B17" s="7" t="s">
        <v>44</v>
      </c>
      <c r="C17" s="7" t="s">
        <v>137</v>
      </c>
      <c r="D17" s="7">
        <v>135</v>
      </c>
      <c r="E17" s="7" t="s">
        <v>46</v>
      </c>
      <c r="F17" s="7" t="s">
        <v>47</v>
      </c>
      <c r="G17" s="7">
        <v>0.72</v>
      </c>
      <c r="H17" s="7" t="s">
        <v>53</v>
      </c>
      <c r="I17" s="7" t="s">
        <v>49</v>
      </c>
      <c r="J17" s="7" t="s">
        <v>50</v>
      </c>
      <c r="K17" s="10" t="s">
        <v>162</v>
      </c>
    </row>
    <row r="18" spans="1:11" ht="27.85" thickBot="1" x14ac:dyDescent="0.3">
      <c r="A18" s="6" t="s">
        <v>136</v>
      </c>
      <c r="B18" s="7" t="s">
        <v>51</v>
      </c>
      <c r="C18" s="7" t="s">
        <v>138</v>
      </c>
      <c r="D18" s="7">
        <v>259</v>
      </c>
      <c r="E18" s="7" t="s">
        <v>46</v>
      </c>
      <c r="F18" s="7" t="s">
        <v>47</v>
      </c>
      <c r="G18" s="7">
        <v>0.74</v>
      </c>
      <c r="H18" s="7" t="s">
        <v>53</v>
      </c>
      <c r="I18" s="7" t="s">
        <v>49</v>
      </c>
      <c r="J18" s="7" t="s">
        <v>50</v>
      </c>
      <c r="K18" s="10" t="s">
        <v>162</v>
      </c>
    </row>
    <row r="19" spans="1:11" ht="27.85" thickBot="1" x14ac:dyDescent="0.3">
      <c r="A19" s="6" t="s">
        <v>139</v>
      </c>
      <c r="B19" s="7" t="s">
        <v>44</v>
      </c>
      <c r="C19" s="7" t="s">
        <v>140</v>
      </c>
      <c r="D19" s="7">
        <v>73</v>
      </c>
      <c r="E19" s="7" t="s">
        <v>46</v>
      </c>
      <c r="F19" s="7" t="s">
        <v>47</v>
      </c>
      <c r="G19" s="7">
        <v>0.71</v>
      </c>
      <c r="H19" s="7" t="s">
        <v>53</v>
      </c>
      <c r="I19" s="7" t="s">
        <v>49</v>
      </c>
      <c r="J19" s="7" t="s">
        <v>50</v>
      </c>
      <c r="K19" s="10" t="s">
        <v>162</v>
      </c>
    </row>
    <row r="20" spans="1:11" ht="27.85" thickBot="1" x14ac:dyDescent="0.3">
      <c r="A20" s="6" t="s">
        <v>139</v>
      </c>
      <c r="B20" s="7" t="s">
        <v>51</v>
      </c>
      <c r="C20" s="7" t="s">
        <v>141</v>
      </c>
      <c r="D20" s="7">
        <v>480</v>
      </c>
      <c r="E20" s="7" t="s">
        <v>46</v>
      </c>
      <c r="F20" s="7" t="s">
        <v>47</v>
      </c>
      <c r="G20" s="7">
        <v>0.62</v>
      </c>
      <c r="H20" s="7" t="s">
        <v>53</v>
      </c>
      <c r="I20" s="7" t="s">
        <v>49</v>
      </c>
      <c r="J20" s="7" t="s">
        <v>50</v>
      </c>
      <c r="K20" s="10" t="s">
        <v>162</v>
      </c>
    </row>
    <row r="21" spans="1:11" ht="27.85" thickBot="1" x14ac:dyDescent="0.3">
      <c r="A21" s="6" t="s">
        <v>142</v>
      </c>
      <c r="B21" s="7" t="s">
        <v>44</v>
      </c>
      <c r="C21" s="7" t="s">
        <v>143</v>
      </c>
      <c r="D21" s="7">
        <v>100</v>
      </c>
      <c r="E21" s="7" t="s">
        <v>46</v>
      </c>
      <c r="F21" s="7" t="s">
        <v>47</v>
      </c>
      <c r="G21" s="7">
        <v>0.73</v>
      </c>
      <c r="H21" s="7" t="s">
        <v>53</v>
      </c>
      <c r="I21" s="7" t="s">
        <v>49</v>
      </c>
      <c r="J21" s="7" t="s">
        <v>50</v>
      </c>
      <c r="K21" s="10" t="s">
        <v>162</v>
      </c>
    </row>
    <row r="22" spans="1:11" ht="27.85" thickBot="1" x14ac:dyDescent="0.3">
      <c r="A22" s="6" t="s">
        <v>142</v>
      </c>
      <c r="B22" s="7" t="s">
        <v>51</v>
      </c>
      <c r="C22" s="7" t="s">
        <v>144</v>
      </c>
      <c r="D22" s="7">
        <v>290</v>
      </c>
      <c r="E22" s="7" t="s">
        <v>46</v>
      </c>
      <c r="F22" s="7" t="s">
        <v>47</v>
      </c>
      <c r="G22" s="7">
        <v>0.71</v>
      </c>
      <c r="H22" s="7" t="s">
        <v>53</v>
      </c>
      <c r="I22" s="7" t="s">
        <v>49</v>
      </c>
      <c r="J22" s="7" t="s">
        <v>50</v>
      </c>
      <c r="K22" s="10" t="s">
        <v>162</v>
      </c>
    </row>
    <row r="23" spans="1:11" ht="27.85" thickBot="1" x14ac:dyDescent="0.3">
      <c r="A23" s="6" t="s">
        <v>145</v>
      </c>
      <c r="B23" s="7" t="s">
        <v>44</v>
      </c>
      <c r="C23" s="7" t="s">
        <v>146</v>
      </c>
      <c r="D23" s="7">
        <v>542</v>
      </c>
      <c r="E23" s="7" t="s">
        <v>46</v>
      </c>
      <c r="F23" s="7" t="s">
        <v>47</v>
      </c>
      <c r="G23" s="7">
        <v>0.73</v>
      </c>
      <c r="H23" s="7" t="s">
        <v>53</v>
      </c>
      <c r="I23" s="7" t="s">
        <v>49</v>
      </c>
      <c r="J23" s="7" t="s">
        <v>50</v>
      </c>
      <c r="K23" s="10" t="s">
        <v>162</v>
      </c>
    </row>
    <row r="24" spans="1:11" ht="27.85" thickBot="1" x14ac:dyDescent="0.3">
      <c r="A24" s="6" t="s">
        <v>145</v>
      </c>
      <c r="B24" s="7" t="s">
        <v>51</v>
      </c>
      <c r="C24" s="7" t="s">
        <v>147</v>
      </c>
      <c r="D24" s="7">
        <v>125</v>
      </c>
      <c r="E24" s="7" t="s">
        <v>46</v>
      </c>
      <c r="F24" s="7" t="s">
        <v>47</v>
      </c>
      <c r="G24" s="7">
        <v>0.8</v>
      </c>
      <c r="H24" s="7" t="s">
        <v>53</v>
      </c>
      <c r="I24" s="7" t="s">
        <v>49</v>
      </c>
      <c r="J24" s="7" t="s">
        <v>50</v>
      </c>
      <c r="K24" s="10" t="s">
        <v>162</v>
      </c>
    </row>
    <row r="25" spans="1:11" ht="27.85" thickBot="1" x14ac:dyDescent="0.3">
      <c r="A25" s="6" t="s">
        <v>148</v>
      </c>
      <c r="B25" s="7" t="s">
        <v>44</v>
      </c>
      <c r="C25" s="7" t="s">
        <v>149</v>
      </c>
      <c r="D25" s="7">
        <v>367</v>
      </c>
      <c r="E25" s="7" t="s">
        <v>46</v>
      </c>
      <c r="F25" s="7" t="s">
        <v>47</v>
      </c>
      <c r="G25" s="7">
        <v>0.7</v>
      </c>
      <c r="H25" s="7" t="s">
        <v>53</v>
      </c>
      <c r="I25" s="7" t="s">
        <v>49</v>
      </c>
      <c r="J25" s="7" t="s">
        <v>50</v>
      </c>
      <c r="K25" s="10" t="s">
        <v>162</v>
      </c>
    </row>
    <row r="26" spans="1:11" ht="27.85" thickBot="1" x14ac:dyDescent="0.3">
      <c r="A26" s="6" t="s">
        <v>148</v>
      </c>
      <c r="B26" s="7" t="s">
        <v>51</v>
      </c>
      <c r="C26" s="7" t="s">
        <v>150</v>
      </c>
      <c r="D26" s="7">
        <v>796</v>
      </c>
      <c r="E26" s="7" t="s">
        <v>46</v>
      </c>
      <c r="F26" s="7" t="s">
        <v>47</v>
      </c>
      <c r="G26" s="7">
        <v>0.64</v>
      </c>
      <c r="H26" s="7" t="s">
        <v>53</v>
      </c>
      <c r="I26" s="7" t="s">
        <v>49</v>
      </c>
      <c r="J26" s="7" t="s">
        <v>50</v>
      </c>
      <c r="K26" s="10" t="s">
        <v>162</v>
      </c>
    </row>
    <row r="27" spans="1:11" ht="27.85" thickBot="1" x14ac:dyDescent="0.3">
      <c r="A27" s="6" t="s">
        <v>151</v>
      </c>
      <c r="B27" s="7" t="s">
        <v>44</v>
      </c>
      <c r="C27" s="7" t="s">
        <v>152</v>
      </c>
      <c r="D27" s="7">
        <v>146</v>
      </c>
      <c r="E27" s="7" t="s">
        <v>46</v>
      </c>
      <c r="F27" s="7" t="s">
        <v>47</v>
      </c>
      <c r="G27" s="7">
        <v>0.66</v>
      </c>
      <c r="H27" s="7" t="s">
        <v>53</v>
      </c>
      <c r="I27" s="7" t="s">
        <v>49</v>
      </c>
      <c r="J27" s="7" t="s">
        <v>50</v>
      </c>
      <c r="K27" s="10" t="s">
        <v>162</v>
      </c>
    </row>
    <row r="28" spans="1:11" ht="27.85" thickBot="1" x14ac:dyDescent="0.3">
      <c r="A28" s="6" t="s">
        <v>151</v>
      </c>
      <c r="B28" s="7" t="s">
        <v>51</v>
      </c>
      <c r="C28" s="7" t="s">
        <v>153</v>
      </c>
      <c r="D28" s="7">
        <v>352</v>
      </c>
      <c r="E28" s="7" t="s">
        <v>46</v>
      </c>
      <c r="F28" s="7" t="s">
        <v>47</v>
      </c>
      <c r="G28" s="7">
        <v>0.65</v>
      </c>
      <c r="H28" s="7" t="s">
        <v>53</v>
      </c>
      <c r="I28" s="7" t="s">
        <v>49</v>
      </c>
      <c r="J28" s="7" t="s">
        <v>50</v>
      </c>
      <c r="K28" s="10" t="s">
        <v>162</v>
      </c>
    </row>
    <row r="29" spans="1:11" ht="27.85" thickBot="1" x14ac:dyDescent="0.3">
      <c r="A29" s="6" t="s">
        <v>154</v>
      </c>
      <c r="B29" s="7" t="s">
        <v>44</v>
      </c>
      <c r="C29" s="7" t="s">
        <v>155</v>
      </c>
      <c r="D29" s="7">
        <v>568</v>
      </c>
      <c r="E29" s="7" t="s">
        <v>46</v>
      </c>
      <c r="F29" s="7" t="s">
        <v>47</v>
      </c>
      <c r="G29" s="7">
        <v>0.61</v>
      </c>
      <c r="H29" s="7" t="s">
        <v>53</v>
      </c>
      <c r="I29" s="7" t="s">
        <v>49</v>
      </c>
      <c r="J29" s="7" t="s">
        <v>50</v>
      </c>
      <c r="K29" s="10" t="s">
        <v>162</v>
      </c>
    </row>
    <row r="30" spans="1:11" ht="27.85" thickBot="1" x14ac:dyDescent="0.3">
      <c r="A30" s="6" t="s">
        <v>154</v>
      </c>
      <c r="B30" s="7" t="s">
        <v>51</v>
      </c>
      <c r="C30" s="7" t="s">
        <v>156</v>
      </c>
      <c r="D30" s="7">
        <v>102</v>
      </c>
      <c r="E30" s="7" t="s">
        <v>46</v>
      </c>
      <c r="F30" s="7" t="s">
        <v>47</v>
      </c>
      <c r="G30" s="7">
        <v>0.77</v>
      </c>
      <c r="H30" s="7" t="s">
        <v>53</v>
      </c>
      <c r="I30" s="7" t="s">
        <v>49</v>
      </c>
      <c r="J30" s="7" t="s">
        <v>50</v>
      </c>
      <c r="K30" s="10" t="s">
        <v>162</v>
      </c>
    </row>
    <row r="31" spans="1:11" ht="27.85" thickBot="1" x14ac:dyDescent="0.3">
      <c r="A31" s="6" t="s">
        <v>157</v>
      </c>
      <c r="B31" s="7" t="s">
        <v>44</v>
      </c>
      <c r="C31" s="7" t="s">
        <v>158</v>
      </c>
      <c r="D31" s="8">
        <v>2594</v>
      </c>
      <c r="E31" s="7" t="s">
        <v>46</v>
      </c>
      <c r="F31" s="7" t="s">
        <v>47</v>
      </c>
      <c r="G31" s="7">
        <v>0.62</v>
      </c>
      <c r="H31" s="7" t="s">
        <v>53</v>
      </c>
      <c r="I31" s="7" t="s">
        <v>49</v>
      </c>
      <c r="J31" s="7" t="s">
        <v>50</v>
      </c>
      <c r="K31" s="10" t="s">
        <v>162</v>
      </c>
    </row>
    <row r="32" spans="1:11" ht="27.85" thickBot="1" x14ac:dyDescent="0.3">
      <c r="A32" s="6" t="s">
        <v>159</v>
      </c>
      <c r="B32" s="7" t="s">
        <v>51</v>
      </c>
      <c r="C32" s="7" t="s">
        <v>160</v>
      </c>
      <c r="D32" s="7">
        <v>139</v>
      </c>
      <c r="E32" s="7" t="s">
        <v>46</v>
      </c>
      <c r="F32" s="7" t="s">
        <v>47</v>
      </c>
      <c r="G32" s="7">
        <v>0.71</v>
      </c>
      <c r="H32" s="7" t="s">
        <v>53</v>
      </c>
      <c r="I32" s="7" t="s">
        <v>49</v>
      </c>
      <c r="J32" s="7"/>
      <c r="K32" s="10" t="s">
        <v>162</v>
      </c>
    </row>
    <row r="33" spans="1:11" ht="27.85" thickBot="1" x14ac:dyDescent="0.3">
      <c r="A33" s="6" t="s">
        <v>113</v>
      </c>
      <c r="B33" s="7" t="s">
        <v>44</v>
      </c>
      <c r="C33" s="7" t="s">
        <v>114</v>
      </c>
      <c r="D33" s="8">
        <v>1962</v>
      </c>
      <c r="E33" s="7" t="s">
        <v>115</v>
      </c>
      <c r="F33" s="7" t="s">
        <v>47</v>
      </c>
      <c r="G33" s="7">
        <v>0.53</v>
      </c>
      <c r="H33" s="7" t="s">
        <v>48</v>
      </c>
      <c r="I33" s="7" t="s">
        <v>49</v>
      </c>
      <c r="J33" s="7" t="s">
        <v>50</v>
      </c>
      <c r="K33" s="10" t="s">
        <v>162</v>
      </c>
    </row>
    <row r="34" spans="1:11" ht="27.85" thickBot="1" x14ac:dyDescent="0.3">
      <c r="A34" s="6" t="s">
        <v>113</v>
      </c>
      <c r="B34" s="7" t="s">
        <v>51</v>
      </c>
      <c r="C34" s="7" t="s">
        <v>116</v>
      </c>
      <c r="D34" s="7">
        <v>250</v>
      </c>
      <c r="E34" s="7" t="s">
        <v>115</v>
      </c>
      <c r="F34" s="7" t="s">
        <v>47</v>
      </c>
      <c r="G34" s="7">
        <v>0.76</v>
      </c>
      <c r="H34" s="7" t="s">
        <v>53</v>
      </c>
      <c r="I34" s="7" t="s">
        <v>49</v>
      </c>
      <c r="J34" s="7" t="s">
        <v>50</v>
      </c>
      <c r="K34" s="10" t="s">
        <v>162</v>
      </c>
    </row>
    <row r="35" spans="1:11" ht="27.85" thickBot="1" x14ac:dyDescent="0.3">
      <c r="A35" s="6" t="s">
        <v>105</v>
      </c>
      <c r="B35" s="7" t="s">
        <v>44</v>
      </c>
      <c r="C35" s="7" t="s">
        <v>106</v>
      </c>
      <c r="D35" s="7">
        <v>89</v>
      </c>
      <c r="E35" s="7" t="s">
        <v>107</v>
      </c>
      <c r="F35" s="7" t="s">
        <v>47</v>
      </c>
      <c r="G35" s="7">
        <v>0.78</v>
      </c>
      <c r="H35" s="7" t="s">
        <v>53</v>
      </c>
      <c r="I35" s="7" t="s">
        <v>49</v>
      </c>
      <c r="J35" s="7" t="s">
        <v>50</v>
      </c>
      <c r="K35" s="10" t="s">
        <v>162</v>
      </c>
    </row>
    <row r="36" spans="1:11" ht="27.85" thickBot="1" x14ac:dyDescent="0.3">
      <c r="A36" s="6" t="s">
        <v>105</v>
      </c>
      <c r="B36" s="7" t="s">
        <v>51</v>
      </c>
      <c r="C36" s="7" t="s">
        <v>108</v>
      </c>
      <c r="D36" s="8">
        <v>5302</v>
      </c>
      <c r="E36" s="7" t="s">
        <v>107</v>
      </c>
      <c r="F36" s="7" t="s">
        <v>47</v>
      </c>
      <c r="G36" s="7">
        <v>0.54</v>
      </c>
      <c r="H36" s="7" t="s">
        <v>48</v>
      </c>
      <c r="I36" s="7" t="s">
        <v>49</v>
      </c>
      <c r="J36" s="7" t="s">
        <v>50</v>
      </c>
      <c r="K36" s="10" t="s">
        <v>162</v>
      </c>
    </row>
    <row r="37" spans="1:11" ht="27.85" thickBot="1" x14ac:dyDescent="0.3">
      <c r="A37" s="6" t="s">
        <v>123</v>
      </c>
      <c r="B37" s="7" t="s">
        <v>51</v>
      </c>
      <c r="C37" s="7" t="s">
        <v>124</v>
      </c>
      <c r="D37" s="7">
        <v>268</v>
      </c>
      <c r="E37" s="7" t="s">
        <v>125</v>
      </c>
      <c r="F37" s="7" t="s">
        <v>47</v>
      </c>
      <c r="G37" s="7">
        <v>0.73</v>
      </c>
      <c r="H37" s="7" t="s">
        <v>53</v>
      </c>
      <c r="I37" s="7" t="s">
        <v>49</v>
      </c>
      <c r="J37" s="7" t="s">
        <v>50</v>
      </c>
      <c r="K37" s="10" t="s">
        <v>162</v>
      </c>
    </row>
    <row r="38" spans="1:11" ht="41.45" thickBot="1" x14ac:dyDescent="0.3">
      <c r="A38" s="6" t="s">
        <v>79</v>
      </c>
      <c r="B38" s="7" t="s">
        <v>44</v>
      </c>
      <c r="C38" s="7" t="s">
        <v>80</v>
      </c>
      <c r="D38" s="7">
        <v>261</v>
      </c>
      <c r="E38" s="7" t="s">
        <v>59</v>
      </c>
      <c r="F38" s="7" t="s">
        <v>47</v>
      </c>
      <c r="G38" s="7">
        <v>0.7</v>
      </c>
      <c r="H38" s="7" t="s">
        <v>53</v>
      </c>
      <c r="I38" s="7" t="s">
        <v>67</v>
      </c>
      <c r="J38" s="7" t="s">
        <v>68</v>
      </c>
      <c r="K38" s="10" t="s">
        <v>164</v>
      </c>
    </row>
    <row r="39" spans="1:11" ht="41.45" thickBot="1" x14ac:dyDescent="0.3">
      <c r="A39" s="6" t="s">
        <v>79</v>
      </c>
      <c r="B39" s="7" t="s">
        <v>51</v>
      </c>
      <c r="C39" s="7" t="s">
        <v>81</v>
      </c>
      <c r="D39" s="7">
        <v>173</v>
      </c>
      <c r="E39" s="7" t="s">
        <v>59</v>
      </c>
      <c r="F39" s="7" t="s">
        <v>47</v>
      </c>
      <c r="G39" s="7">
        <v>0.75</v>
      </c>
      <c r="H39" s="7" t="s">
        <v>53</v>
      </c>
      <c r="I39" s="7" t="s">
        <v>67</v>
      </c>
      <c r="J39" s="7" t="s">
        <v>68</v>
      </c>
      <c r="K39" s="10" t="s">
        <v>164</v>
      </c>
    </row>
    <row r="40" spans="1:11" ht="27.85" thickBot="1" x14ac:dyDescent="0.3">
      <c r="A40" s="6" t="s">
        <v>73</v>
      </c>
      <c r="B40" s="7" t="s">
        <v>44</v>
      </c>
      <c r="C40" s="7" t="s">
        <v>74</v>
      </c>
      <c r="D40" s="8">
        <v>6627</v>
      </c>
      <c r="E40" s="7" t="s">
        <v>75</v>
      </c>
      <c r="F40" s="7" t="s">
        <v>47</v>
      </c>
      <c r="G40" s="7">
        <v>0.62</v>
      </c>
      <c r="H40" s="7" t="s">
        <v>53</v>
      </c>
      <c r="I40" s="7" t="s">
        <v>67</v>
      </c>
      <c r="J40" s="7" t="s">
        <v>76</v>
      </c>
      <c r="K40" s="10" t="s">
        <v>164</v>
      </c>
    </row>
    <row r="41" spans="1:11" ht="41.45" thickBot="1" x14ac:dyDescent="0.3">
      <c r="A41" s="6" t="s">
        <v>73</v>
      </c>
      <c r="B41" s="7" t="s">
        <v>51</v>
      </c>
      <c r="C41" s="7" t="s">
        <v>77</v>
      </c>
      <c r="D41" s="7">
        <v>210</v>
      </c>
      <c r="E41" s="7" t="s">
        <v>78</v>
      </c>
      <c r="F41" s="7" t="s">
        <v>47</v>
      </c>
      <c r="G41" s="7">
        <v>0.72</v>
      </c>
      <c r="H41" s="7" t="s">
        <v>53</v>
      </c>
      <c r="I41" s="7" t="s">
        <v>67</v>
      </c>
      <c r="J41" s="7" t="s">
        <v>68</v>
      </c>
      <c r="K41" s="10" t="s">
        <v>164</v>
      </c>
    </row>
    <row r="42" spans="1:11" ht="41.45" thickBot="1" x14ac:dyDescent="0.3">
      <c r="A42" s="6" t="s">
        <v>109</v>
      </c>
      <c r="B42" s="7" t="s">
        <v>44</v>
      </c>
      <c r="C42" s="7" t="s">
        <v>110</v>
      </c>
      <c r="D42" s="8">
        <v>1270</v>
      </c>
      <c r="E42" s="7" t="s">
        <v>111</v>
      </c>
      <c r="F42" s="7" t="s">
        <v>47</v>
      </c>
      <c r="G42" s="7">
        <v>0.7</v>
      </c>
      <c r="H42" s="7" t="s">
        <v>53</v>
      </c>
      <c r="I42" s="7" t="s">
        <v>67</v>
      </c>
      <c r="J42" s="7" t="s">
        <v>68</v>
      </c>
      <c r="K42" s="10" t="s">
        <v>164</v>
      </c>
    </row>
    <row r="43" spans="1:11" ht="41.45" thickBot="1" x14ac:dyDescent="0.3">
      <c r="A43" s="6" t="s">
        <v>109</v>
      </c>
      <c r="B43" s="7" t="s">
        <v>51</v>
      </c>
      <c r="C43" s="7" t="s">
        <v>112</v>
      </c>
      <c r="D43" s="7">
        <v>252</v>
      </c>
      <c r="E43" s="7" t="s">
        <v>111</v>
      </c>
      <c r="F43" s="7" t="s">
        <v>47</v>
      </c>
      <c r="G43" s="7">
        <v>0.77</v>
      </c>
      <c r="H43" s="7" t="s">
        <v>53</v>
      </c>
      <c r="I43" s="7" t="s">
        <v>67</v>
      </c>
      <c r="J43" s="7" t="s">
        <v>68</v>
      </c>
      <c r="K43" s="10" t="s">
        <v>164</v>
      </c>
    </row>
    <row r="44" spans="1:11" ht="41.45" thickBot="1" x14ac:dyDescent="0.3">
      <c r="A44" s="6" t="s">
        <v>64</v>
      </c>
      <c r="B44" s="7" t="s">
        <v>44</v>
      </c>
      <c r="C44" s="7" t="s">
        <v>65</v>
      </c>
      <c r="D44" s="7">
        <v>257</v>
      </c>
      <c r="E44" s="7" t="s">
        <v>66</v>
      </c>
      <c r="F44" s="7" t="s">
        <v>47</v>
      </c>
      <c r="G44" s="7">
        <v>0.72</v>
      </c>
      <c r="H44" s="7" t="s">
        <v>53</v>
      </c>
      <c r="I44" s="7" t="s">
        <v>67</v>
      </c>
      <c r="J44" s="7" t="s">
        <v>68</v>
      </c>
      <c r="K44" s="10" t="s">
        <v>164</v>
      </c>
    </row>
    <row r="45" spans="1:11" ht="41.45" thickBot="1" x14ac:dyDescent="0.3">
      <c r="A45" s="6" t="s">
        <v>64</v>
      </c>
      <c r="B45" s="7" t="s">
        <v>51</v>
      </c>
      <c r="C45" s="7" t="s">
        <v>69</v>
      </c>
      <c r="D45" s="7">
        <v>194</v>
      </c>
      <c r="E45" s="7" t="s">
        <v>66</v>
      </c>
      <c r="F45" s="7" t="s">
        <v>47</v>
      </c>
      <c r="G45" s="7">
        <v>0.81</v>
      </c>
      <c r="H45" s="7" t="s">
        <v>56</v>
      </c>
      <c r="I45" s="7" t="s">
        <v>67</v>
      </c>
      <c r="J45" s="7" t="s">
        <v>68</v>
      </c>
      <c r="K45" s="10" t="s">
        <v>164</v>
      </c>
    </row>
    <row r="46" spans="1:11" ht="41.45" thickBot="1" x14ac:dyDescent="0.3">
      <c r="A46" s="6" t="s">
        <v>70</v>
      </c>
      <c r="B46" s="7" t="s">
        <v>44</v>
      </c>
      <c r="C46" s="7" t="s">
        <v>71</v>
      </c>
      <c r="D46" s="7">
        <v>85</v>
      </c>
      <c r="E46" s="7" t="s">
        <v>66</v>
      </c>
      <c r="F46" s="7" t="s">
        <v>47</v>
      </c>
      <c r="G46" s="7">
        <v>0.74</v>
      </c>
      <c r="H46" s="7" t="s">
        <v>53</v>
      </c>
      <c r="I46" s="7" t="s">
        <v>67</v>
      </c>
      <c r="J46" s="7" t="s">
        <v>68</v>
      </c>
      <c r="K46" s="10" t="s">
        <v>164</v>
      </c>
    </row>
    <row r="47" spans="1:11" ht="41.45" thickBot="1" x14ac:dyDescent="0.3">
      <c r="A47" s="6" t="s">
        <v>70</v>
      </c>
      <c r="B47" s="7" t="s">
        <v>51</v>
      </c>
      <c r="C47" s="7" t="s">
        <v>72</v>
      </c>
      <c r="D47" s="7">
        <v>147</v>
      </c>
      <c r="E47" s="7" t="s">
        <v>66</v>
      </c>
      <c r="F47" s="7" t="s">
        <v>47</v>
      </c>
      <c r="G47" s="7">
        <v>0.67</v>
      </c>
      <c r="H47" s="7" t="s">
        <v>53</v>
      </c>
      <c r="I47" s="7" t="s">
        <v>67</v>
      </c>
      <c r="J47" s="7" t="s">
        <v>68</v>
      </c>
      <c r="K47" s="10" t="s">
        <v>164</v>
      </c>
    </row>
    <row r="48" spans="1:11" ht="41.45" thickBot="1" x14ac:dyDescent="0.3">
      <c r="A48" s="6" t="s">
        <v>88</v>
      </c>
      <c r="B48" s="7" t="s">
        <v>44</v>
      </c>
      <c r="C48" s="7" t="s">
        <v>89</v>
      </c>
      <c r="D48" s="8">
        <v>1197</v>
      </c>
      <c r="E48" s="7" t="s">
        <v>66</v>
      </c>
      <c r="F48" s="7" t="s">
        <v>47</v>
      </c>
      <c r="G48" s="7">
        <v>0.68</v>
      </c>
      <c r="H48" s="7" t="s">
        <v>53</v>
      </c>
      <c r="I48" s="7" t="s">
        <v>67</v>
      </c>
      <c r="J48" s="7" t="s">
        <v>68</v>
      </c>
      <c r="K48" s="10" t="s">
        <v>164</v>
      </c>
    </row>
    <row r="49" spans="1:11" ht="41.45" thickBot="1" x14ac:dyDescent="0.3">
      <c r="A49" s="6" t="s">
        <v>90</v>
      </c>
      <c r="B49" s="7" t="s">
        <v>44</v>
      </c>
      <c r="C49" s="7" t="s">
        <v>91</v>
      </c>
      <c r="D49" s="7">
        <v>112</v>
      </c>
      <c r="E49" s="7" t="s">
        <v>66</v>
      </c>
      <c r="F49" s="7" t="s">
        <v>47</v>
      </c>
      <c r="G49" s="7">
        <v>0.67</v>
      </c>
      <c r="H49" s="7" t="s">
        <v>53</v>
      </c>
      <c r="I49" s="7" t="s">
        <v>67</v>
      </c>
      <c r="J49" s="7" t="s">
        <v>68</v>
      </c>
      <c r="K49" s="10" t="s">
        <v>164</v>
      </c>
    </row>
    <row r="50" spans="1:11" ht="41.45" thickBot="1" x14ac:dyDescent="0.3">
      <c r="A50" s="6" t="s">
        <v>90</v>
      </c>
      <c r="B50" s="7" t="s">
        <v>51</v>
      </c>
      <c r="C50" s="7" t="s">
        <v>92</v>
      </c>
      <c r="D50" s="7">
        <v>198</v>
      </c>
      <c r="E50" s="7" t="s">
        <v>66</v>
      </c>
      <c r="F50" s="7" t="s">
        <v>47</v>
      </c>
      <c r="G50" s="7">
        <v>0.7</v>
      </c>
      <c r="H50" s="7" t="s">
        <v>53</v>
      </c>
      <c r="I50" s="7" t="s">
        <v>67</v>
      </c>
      <c r="J50" s="7" t="s">
        <v>68</v>
      </c>
      <c r="K50" s="10" t="s">
        <v>164</v>
      </c>
    </row>
    <row r="51" spans="1:11" ht="41.45" thickBot="1" x14ac:dyDescent="0.3">
      <c r="A51" s="6" t="s">
        <v>126</v>
      </c>
      <c r="B51" s="7" t="s">
        <v>51</v>
      </c>
      <c r="C51" s="7" t="s">
        <v>127</v>
      </c>
      <c r="D51" s="7">
        <v>414</v>
      </c>
      <c r="E51" s="7" t="s">
        <v>66</v>
      </c>
      <c r="F51" s="7" t="s">
        <v>47</v>
      </c>
      <c r="G51" s="7">
        <v>0.61</v>
      </c>
      <c r="H51" s="7" t="s">
        <v>53</v>
      </c>
      <c r="I51" s="7" t="s">
        <v>67</v>
      </c>
      <c r="J51" s="7" t="s">
        <v>68</v>
      </c>
      <c r="K51" s="10" t="s">
        <v>164</v>
      </c>
    </row>
    <row r="52" spans="1:11" ht="41.45" thickBot="1" x14ac:dyDescent="0.3">
      <c r="A52" s="6" t="s">
        <v>101</v>
      </c>
      <c r="B52" s="7" t="s">
        <v>44</v>
      </c>
      <c r="C52" s="7" t="s">
        <v>102</v>
      </c>
      <c r="D52" s="8">
        <v>2451</v>
      </c>
      <c r="E52" s="7" t="s">
        <v>103</v>
      </c>
      <c r="F52" s="7" t="s">
        <v>47</v>
      </c>
      <c r="G52" s="7">
        <v>0.51</v>
      </c>
      <c r="H52" s="7" t="s">
        <v>48</v>
      </c>
      <c r="I52" s="7" t="s">
        <v>67</v>
      </c>
      <c r="J52" s="7" t="s">
        <v>68</v>
      </c>
      <c r="K52" s="10" t="s">
        <v>164</v>
      </c>
    </row>
    <row r="53" spans="1:11" ht="41.45" thickBot="1" x14ac:dyDescent="0.3">
      <c r="A53" s="6" t="s">
        <v>101</v>
      </c>
      <c r="B53" s="7" t="s">
        <v>51</v>
      </c>
      <c r="C53" s="7" t="s">
        <v>104</v>
      </c>
      <c r="D53" s="8">
        <v>1438</v>
      </c>
      <c r="E53" s="7" t="s">
        <v>103</v>
      </c>
      <c r="F53" s="7" t="s">
        <v>47</v>
      </c>
      <c r="G53" s="7">
        <v>0.55000000000000004</v>
      </c>
      <c r="H53" s="7" t="s">
        <v>48</v>
      </c>
      <c r="I53" s="7" t="s">
        <v>67</v>
      </c>
      <c r="J53" s="7" t="s">
        <v>68</v>
      </c>
      <c r="K53" s="10" t="s">
        <v>164</v>
      </c>
    </row>
    <row r="54" spans="1:11" ht="27.85" thickBot="1" x14ac:dyDescent="0.3">
      <c r="A54" s="6" t="s">
        <v>57</v>
      </c>
      <c r="B54" s="7" t="s">
        <v>44</v>
      </c>
      <c r="C54" s="7" t="s">
        <v>58</v>
      </c>
      <c r="D54" s="8">
        <v>135805</v>
      </c>
      <c r="E54" s="7" t="s">
        <v>59</v>
      </c>
      <c r="F54" s="7" t="s">
        <v>48</v>
      </c>
      <c r="G54" s="7">
        <v>0.76</v>
      </c>
      <c r="H54" s="7" t="s">
        <v>53</v>
      </c>
      <c r="I54" s="7" t="s">
        <v>49</v>
      </c>
      <c r="J54" s="7" t="s">
        <v>50</v>
      </c>
      <c r="K54" s="10" t="s">
        <v>163</v>
      </c>
    </row>
    <row r="55" spans="1:11" ht="27.85" thickBot="1" x14ac:dyDescent="0.3">
      <c r="A55" s="6" t="s">
        <v>57</v>
      </c>
      <c r="B55" s="7" t="s">
        <v>51</v>
      </c>
      <c r="C55" s="7" t="s">
        <v>60</v>
      </c>
      <c r="D55" s="8">
        <v>166746</v>
      </c>
      <c r="E55" s="7" t="s">
        <v>59</v>
      </c>
      <c r="F55" s="7" t="s">
        <v>48</v>
      </c>
      <c r="G55" s="7">
        <v>0.67</v>
      </c>
      <c r="H55" s="7" t="s">
        <v>53</v>
      </c>
      <c r="I55" s="7" t="s">
        <v>49</v>
      </c>
      <c r="J55" s="7" t="s">
        <v>50</v>
      </c>
      <c r="K55" s="10" t="s">
        <v>163</v>
      </c>
    </row>
    <row r="56" spans="1:11" ht="27.85" thickBot="1" x14ac:dyDescent="0.3">
      <c r="A56" s="6" t="s">
        <v>61</v>
      </c>
      <c r="B56" s="7" t="s">
        <v>44</v>
      </c>
      <c r="C56" s="7" t="s">
        <v>62</v>
      </c>
      <c r="D56" s="8">
        <v>52813</v>
      </c>
      <c r="E56" s="7" t="s">
        <v>59</v>
      </c>
      <c r="F56" s="7" t="s">
        <v>48</v>
      </c>
      <c r="G56" s="7">
        <v>0.62</v>
      </c>
      <c r="H56" s="7" t="s">
        <v>53</v>
      </c>
      <c r="I56" s="7" t="s">
        <v>49</v>
      </c>
      <c r="J56" s="7" t="s">
        <v>50</v>
      </c>
      <c r="K56" s="10" t="s">
        <v>163</v>
      </c>
    </row>
    <row r="57" spans="1:11" ht="27.85" thickBot="1" x14ac:dyDescent="0.3">
      <c r="A57" s="6" t="s">
        <v>61</v>
      </c>
      <c r="B57" s="7" t="s">
        <v>51</v>
      </c>
      <c r="C57" s="7" t="s">
        <v>63</v>
      </c>
      <c r="D57" s="8">
        <v>9049</v>
      </c>
      <c r="E57" s="7" t="s">
        <v>59</v>
      </c>
      <c r="F57" s="7" t="s">
        <v>48</v>
      </c>
      <c r="G57" s="7">
        <v>0.55000000000000004</v>
      </c>
      <c r="H57" s="7" t="s">
        <v>48</v>
      </c>
      <c r="I57" s="7" t="s">
        <v>49</v>
      </c>
      <c r="J57" s="7" t="s">
        <v>50</v>
      </c>
      <c r="K57" s="10" t="s">
        <v>163</v>
      </c>
    </row>
    <row r="58" spans="1:11" ht="27.85" thickBot="1" x14ac:dyDescent="0.3">
      <c r="A58" s="6" t="s">
        <v>117</v>
      </c>
      <c r="B58" s="7" t="s">
        <v>44</v>
      </c>
      <c r="C58" s="7" t="s">
        <v>118</v>
      </c>
      <c r="D58" s="8">
        <v>303849</v>
      </c>
      <c r="E58" s="7" t="s">
        <v>59</v>
      </c>
      <c r="F58" s="7" t="s">
        <v>48</v>
      </c>
      <c r="G58" s="7">
        <v>0.67</v>
      </c>
      <c r="H58" s="7" t="s">
        <v>53</v>
      </c>
      <c r="I58" s="7" t="s">
        <v>49</v>
      </c>
      <c r="J58" s="7" t="s">
        <v>50</v>
      </c>
      <c r="K58" s="10" t="s">
        <v>163</v>
      </c>
    </row>
    <row r="59" spans="1:11" ht="27.85" thickBot="1" x14ac:dyDescent="0.3">
      <c r="A59" s="6" t="s">
        <v>117</v>
      </c>
      <c r="B59" s="7" t="s">
        <v>51</v>
      </c>
      <c r="C59" s="7" t="s">
        <v>119</v>
      </c>
      <c r="D59" s="8">
        <v>112810</v>
      </c>
      <c r="E59" s="7" t="s">
        <v>59</v>
      </c>
      <c r="F59" s="7" t="s">
        <v>48</v>
      </c>
      <c r="G59" s="7">
        <v>0.71</v>
      </c>
      <c r="H59" s="7" t="s">
        <v>53</v>
      </c>
      <c r="I59" s="7" t="s">
        <v>49</v>
      </c>
      <c r="J59" s="7" t="s">
        <v>50</v>
      </c>
      <c r="K59" s="10" t="s">
        <v>163</v>
      </c>
    </row>
    <row r="60" spans="1:11" ht="27.85" thickBot="1" x14ac:dyDescent="0.3">
      <c r="A60" s="6" t="s">
        <v>93</v>
      </c>
      <c r="B60" s="7" t="s">
        <v>44</v>
      </c>
      <c r="C60" s="7" t="s">
        <v>94</v>
      </c>
      <c r="D60" s="8">
        <v>553062</v>
      </c>
      <c r="E60" s="7" t="s">
        <v>66</v>
      </c>
      <c r="F60" s="7" t="s">
        <v>48</v>
      </c>
      <c r="G60" s="7">
        <v>0.8</v>
      </c>
      <c r="H60" s="7" t="s">
        <v>56</v>
      </c>
      <c r="I60" s="7" t="s">
        <v>49</v>
      </c>
      <c r="J60" s="7" t="s">
        <v>50</v>
      </c>
      <c r="K60" s="10" t="s">
        <v>163</v>
      </c>
    </row>
    <row r="61" spans="1:11" ht="27.85" thickBot="1" x14ac:dyDescent="0.3">
      <c r="A61" s="6" t="s">
        <v>98</v>
      </c>
      <c r="B61" s="7" t="s">
        <v>44</v>
      </c>
      <c r="C61" s="7" t="s">
        <v>99</v>
      </c>
      <c r="D61" s="8">
        <v>179447</v>
      </c>
      <c r="E61" s="7" t="s">
        <v>66</v>
      </c>
      <c r="F61" s="7" t="s">
        <v>48</v>
      </c>
      <c r="G61" s="7">
        <v>0.72</v>
      </c>
      <c r="H61" s="7" t="s">
        <v>53</v>
      </c>
      <c r="I61" s="7" t="s">
        <v>49</v>
      </c>
      <c r="J61" s="7" t="s">
        <v>50</v>
      </c>
      <c r="K61" s="10" t="s">
        <v>163</v>
      </c>
    </row>
    <row r="62" spans="1:11" ht="27.85" thickBot="1" x14ac:dyDescent="0.3">
      <c r="A62" s="6" t="s">
        <v>98</v>
      </c>
      <c r="B62" s="7" t="s">
        <v>51</v>
      </c>
      <c r="C62" s="7" t="s">
        <v>100</v>
      </c>
      <c r="D62" s="8">
        <v>61591</v>
      </c>
      <c r="E62" s="7" t="s">
        <v>66</v>
      </c>
      <c r="F62" s="7" t="s">
        <v>48</v>
      </c>
      <c r="G62" s="7">
        <v>0.53</v>
      </c>
      <c r="H62" s="7" t="s">
        <v>48</v>
      </c>
      <c r="I62" s="7" t="s">
        <v>49</v>
      </c>
      <c r="J62" s="7" t="s">
        <v>50</v>
      </c>
      <c r="K62" s="10" t="s">
        <v>163</v>
      </c>
    </row>
  </sheetData>
  <sortState xmlns:xlrd2="http://schemas.microsoft.com/office/spreadsheetml/2017/richdata2" ref="A2:K62">
    <sortCondition ref="F2:F62"/>
    <sortCondition ref="E2:E6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05064A12413947AEFDEF4411A0E756" ma:contentTypeVersion="16" ma:contentTypeDescription="Create a new document." ma:contentTypeScope="" ma:versionID="97e7ddd3aaa9c89afcb50687f1ba0372">
  <xsd:schema xmlns:xsd="http://www.w3.org/2001/XMLSchema" xmlns:xs="http://www.w3.org/2001/XMLSchema" xmlns:p="http://schemas.microsoft.com/office/2006/metadata/properties" xmlns:ns2="309e170c-35fd-4358-82b1-dcdd361d4bd9" xmlns:ns3="94f20260-b8cc-424c-8a1f-1781b1f1dbca" targetNamespace="http://schemas.microsoft.com/office/2006/metadata/properties" ma:root="true" ma:fieldsID="6b88692882a17916db543af51e5a093f" ns2:_="" ns3:_="">
    <xsd:import namespace="309e170c-35fd-4358-82b1-dcdd361d4bd9"/>
    <xsd:import namespace="94f20260-b8cc-424c-8a1f-1781b1f1db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e170c-35fd-4358-82b1-dcdd361d4b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14fc1ee-ee85-4a7e-98b0-8db30ca09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f20260-b8cc-424c-8a1f-1781b1f1dbc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8bfd02a-8e61-4caf-b987-cda81c6c4855}" ma:internalName="TaxCatchAll" ma:showField="CatchAllData" ma:web="94f20260-b8cc-424c-8a1f-1781b1f1db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9e170c-35fd-4358-82b1-dcdd361d4bd9">
      <Terms xmlns="http://schemas.microsoft.com/office/infopath/2007/PartnerControls"/>
    </lcf76f155ced4ddcb4097134ff3c332f>
    <TaxCatchAll xmlns="94f20260-b8cc-424c-8a1f-1781b1f1dbca" xsi:nil="true"/>
  </documentManagement>
</p:properties>
</file>

<file path=customXml/itemProps1.xml><?xml version="1.0" encoding="utf-8"?>
<ds:datastoreItem xmlns:ds="http://schemas.openxmlformats.org/officeDocument/2006/customXml" ds:itemID="{D8A08C3D-C755-4CB6-A04E-050693A0C3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9e170c-35fd-4358-82b1-dcdd361d4bd9"/>
    <ds:schemaRef ds:uri="94f20260-b8cc-424c-8a1f-1781b1f1db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866157-F0A1-4079-A135-5206FD0D45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200612-0124-4BF0-A5A1-3CE79623C113}">
  <ds:schemaRefs>
    <ds:schemaRef ds:uri="http://schemas.microsoft.com/office/2006/metadata/properties"/>
    <ds:schemaRef ds:uri="http://schemas.microsoft.com/office/infopath/2007/PartnerControls"/>
    <ds:schemaRef ds:uri="309e170c-35fd-4358-82b1-dcdd361d4bd9"/>
    <ds:schemaRef ds:uri="94f20260-b8cc-424c-8a1f-1781b1f1dbca"/>
  </ds:schemaRefs>
</ds:datastoreItem>
</file>

<file path=docMetadata/LabelInfo.xml><?xml version="1.0" encoding="utf-8"?>
<clbl:labelList xmlns:clbl="http://schemas.microsoft.com/office/2020/mipLabelMetadata">
  <clbl:label id="{72157dbb-e8bd-40dc-8d00-3f08c234ac47}" enabled="0" method="" siteId="{72157dbb-e8bd-40dc-8d00-3f08c234ac4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WorldwideCF</vt:lpstr>
      <vt:lpstr>Incomplete data</vt:lpstr>
      <vt:lpstr>PRJNA644285</vt:lpstr>
      <vt:lpstr>PRJEB32062</vt:lpstr>
      <vt:lpstr>PRJNA1055940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Edwards</dc:creator>
  <cp:lastModifiedBy>Robert Edwards</cp:lastModifiedBy>
  <dcterms:created xsi:type="dcterms:W3CDTF">2025-11-28T04:39:42Z</dcterms:created>
  <dcterms:modified xsi:type="dcterms:W3CDTF">2025-12-01T21:01:46Z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0x0101008505064A12413947AEFDEF4411A0E756</vt:lpwstr>
  </property>
  <property fmtid="{D5CDD505-2E9C-101B-9397-08002B2CF9AE}" pid="3" name="MediaServiceImageTags">
    <vt:lpwstr/>
  </property>
</Properties>
</file>